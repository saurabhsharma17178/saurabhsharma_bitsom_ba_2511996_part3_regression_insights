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firstSheet="5" activeTab="9"/>
  </bookViews>
  <sheets>
    <sheet name="Original_Data" sheetId="1" r:id="rId1"/>
    <sheet name="Sheet1" sheetId="8" r:id="rId2"/>
    <sheet name="Simple_Regression_1" sheetId="9" r:id="rId3"/>
    <sheet name="Simple_Regression_2" sheetId="10" r:id="rId4"/>
    <sheet name="Prepared_Data" sheetId="2" r:id="rId5"/>
    <sheet name="Sheet4" sheetId="11" r:id="rId6"/>
    <sheet name="Multiple_Regression_Output" sheetId="12" r:id="rId7"/>
    <sheet name="Dummy_Variables" sheetId="3" r:id="rId8"/>
    <sheet name="Multiple_Regression" sheetId="5" r:id="rId9"/>
    <sheet name="Predictions_Residuals" sheetId="6" r:id="rId10"/>
    <sheet name="Model_Comparison" sheetId="7" r:id="rId11"/>
  </sheets>
  <definedNames>
    <definedName name="_xlnm._FilterDatabase" localSheetId="4" hidden="1">Prepared_Data!$A$1:$N$321</definedName>
  </definedNames>
  <calcPr calcId="144525"/>
</workbook>
</file>

<file path=xl/calcChain.xml><?xml version="1.0" encoding="utf-8"?>
<calcChain xmlns="http://schemas.openxmlformats.org/spreadsheetml/2006/main">
  <c r="G280" i="6" l="1"/>
  <c r="H280" i="6" s="1"/>
  <c r="I280" i="6" s="1"/>
  <c r="G116" i="6"/>
  <c r="H116" i="6" s="1"/>
  <c r="I116" i="6" s="1"/>
  <c r="G292" i="6"/>
  <c r="H292" i="6" s="1"/>
  <c r="I292" i="6" s="1"/>
  <c r="G248" i="6"/>
  <c r="H248" i="6" s="1"/>
  <c r="I248" i="6" s="1"/>
  <c r="G20" i="6"/>
  <c r="H20" i="6" s="1"/>
  <c r="I20" i="6" s="1"/>
  <c r="G143" i="6"/>
  <c r="H143" i="6" s="1"/>
  <c r="I143" i="6" s="1"/>
  <c r="G178" i="6"/>
  <c r="H178" i="6" s="1"/>
  <c r="I178" i="6" s="1"/>
  <c r="G131" i="6"/>
  <c r="H131" i="6" s="1"/>
  <c r="I131" i="6" s="1"/>
  <c r="G65" i="6"/>
  <c r="H65" i="6" s="1"/>
  <c r="I65" i="6" s="1"/>
  <c r="G227" i="6"/>
  <c r="H227" i="6" s="1"/>
  <c r="I227" i="6" s="1"/>
  <c r="G290" i="6"/>
  <c r="H290" i="6" s="1"/>
  <c r="I290" i="6" s="1"/>
  <c r="G224" i="6"/>
  <c r="H224" i="6" s="1"/>
  <c r="I224" i="6" s="1"/>
  <c r="G226" i="6"/>
  <c r="H226" i="6" s="1"/>
  <c r="I226" i="6" s="1"/>
  <c r="G167" i="6"/>
  <c r="H167" i="6" s="1"/>
  <c r="I167" i="6" s="1"/>
  <c r="G301" i="6"/>
  <c r="H301" i="6" s="1"/>
  <c r="I301" i="6" s="1"/>
  <c r="G118" i="6"/>
  <c r="H118" i="6" s="1"/>
  <c r="I118" i="6" s="1"/>
  <c r="G54" i="6"/>
  <c r="H54" i="6" s="1"/>
  <c r="I54" i="6" s="1"/>
  <c r="G113" i="6"/>
  <c r="H113" i="6" s="1"/>
  <c r="I113" i="6" s="1"/>
  <c r="G115" i="6"/>
  <c r="H115" i="6" s="1"/>
  <c r="I115" i="6" s="1"/>
  <c r="G149" i="6"/>
  <c r="H149" i="6" s="1"/>
  <c r="I149" i="6" s="1"/>
  <c r="G321" i="6"/>
  <c r="H321" i="6" s="1"/>
  <c r="I321" i="6" s="1"/>
  <c r="G256" i="6"/>
  <c r="H256" i="6" s="1"/>
  <c r="I256" i="6" s="1"/>
  <c r="G67" i="6"/>
  <c r="H67" i="6" s="1"/>
  <c r="I67" i="6" s="1"/>
  <c r="G187" i="6"/>
  <c r="H187" i="6" s="1"/>
  <c r="I187" i="6" s="1"/>
  <c r="G307" i="6"/>
  <c r="H307" i="6" s="1"/>
  <c r="I307" i="6" s="1"/>
  <c r="G305" i="6"/>
  <c r="H305" i="6" s="1"/>
  <c r="I305" i="6" s="1"/>
  <c r="G293" i="6"/>
  <c r="H293" i="6" s="1"/>
  <c r="I293" i="6" s="1"/>
  <c r="G289" i="6"/>
  <c r="H289" i="6" s="1"/>
  <c r="I289" i="6" s="1"/>
  <c r="G160" i="6"/>
  <c r="H160" i="6" s="1"/>
  <c r="I160" i="6" s="1"/>
  <c r="G22" i="6"/>
  <c r="H22" i="6" s="1"/>
  <c r="I22" i="6" s="1"/>
  <c r="G161" i="6"/>
  <c r="H161" i="6" s="1"/>
  <c r="I161" i="6" s="1"/>
  <c r="G89" i="6"/>
  <c r="H89" i="6" s="1"/>
  <c r="I89" i="6" s="1"/>
  <c r="G283" i="6"/>
  <c r="H283" i="6" s="1"/>
  <c r="I283" i="6" s="1"/>
  <c r="G243" i="6"/>
  <c r="H243" i="6" s="1"/>
  <c r="I243" i="6" s="1"/>
  <c r="G217" i="6"/>
  <c r="H217" i="6" s="1"/>
  <c r="I217" i="6" s="1"/>
  <c r="G208" i="6"/>
  <c r="H208" i="6" s="1"/>
  <c r="I208" i="6" s="1"/>
  <c r="G304" i="6"/>
  <c r="H304" i="6" s="1"/>
  <c r="I304" i="6" s="1"/>
  <c r="G129" i="6"/>
  <c r="H129" i="6" s="1"/>
  <c r="I129" i="6" s="1"/>
  <c r="G284" i="6"/>
  <c r="H284" i="6" s="1"/>
  <c r="I284" i="6" s="1"/>
  <c r="G298" i="6"/>
  <c r="H298" i="6" s="1"/>
  <c r="I298" i="6" s="1"/>
  <c r="G78" i="6"/>
  <c r="H78" i="6" s="1"/>
  <c r="I78" i="6" s="1"/>
  <c r="G83" i="6"/>
  <c r="H83" i="6" s="1"/>
  <c r="I83" i="6" s="1"/>
  <c r="G100" i="6"/>
  <c r="H100" i="6" s="1"/>
  <c r="I100" i="6" s="1"/>
  <c r="G192" i="6"/>
  <c r="H192" i="6" s="1"/>
  <c r="I192" i="6" s="1"/>
  <c r="G123" i="6"/>
  <c r="H123" i="6" s="1"/>
  <c r="I123" i="6" s="1"/>
  <c r="G216" i="6"/>
  <c r="H216" i="6" s="1"/>
  <c r="I216" i="6" s="1"/>
  <c r="G269" i="6"/>
  <c r="H269" i="6" s="1"/>
  <c r="I269" i="6" s="1"/>
  <c r="G198" i="6"/>
  <c r="H198" i="6" s="1"/>
  <c r="I198" i="6" s="1"/>
  <c r="G265" i="6"/>
  <c r="H265" i="6" s="1"/>
  <c r="I265" i="6" s="1"/>
  <c r="G44" i="6"/>
  <c r="H44" i="6" s="1"/>
  <c r="I44" i="6" s="1"/>
  <c r="G96" i="6"/>
  <c r="H96" i="6" s="1"/>
  <c r="I96" i="6" s="1"/>
  <c r="G214" i="6"/>
  <c r="H214" i="6" s="1"/>
  <c r="I214" i="6" s="1"/>
  <c r="G74" i="6"/>
  <c r="H74" i="6" s="1"/>
  <c r="I74" i="6" s="1"/>
  <c r="G93" i="6"/>
  <c r="H93" i="6" s="1"/>
  <c r="I93" i="6" s="1"/>
  <c r="G64" i="6"/>
  <c r="H64" i="6" s="1"/>
  <c r="I64" i="6" s="1"/>
  <c r="G154" i="6"/>
  <c r="H154" i="6" s="1"/>
  <c r="I154" i="6" s="1"/>
  <c r="G212" i="6"/>
  <c r="H212" i="6" s="1"/>
  <c r="I212" i="6" s="1"/>
  <c r="G148" i="6"/>
  <c r="H148" i="6" s="1"/>
  <c r="I148" i="6" s="1"/>
  <c r="G238" i="6"/>
  <c r="H238" i="6" s="1"/>
  <c r="I238" i="6" s="1"/>
  <c r="G294" i="6"/>
  <c r="H294" i="6" s="1"/>
  <c r="I294" i="6" s="1"/>
  <c r="G56" i="6"/>
  <c r="H56" i="6" s="1"/>
  <c r="I56" i="6" s="1"/>
  <c r="G94" i="6"/>
  <c r="H94" i="6" s="1"/>
  <c r="I94" i="6" s="1"/>
  <c r="G128" i="6"/>
  <c r="H128" i="6" s="1"/>
  <c r="I128" i="6" s="1"/>
  <c r="G11" i="6"/>
  <c r="H11" i="6" s="1"/>
  <c r="I11" i="6" s="1"/>
  <c r="G237" i="6"/>
  <c r="H237" i="6" s="1"/>
  <c r="I237" i="6" s="1"/>
  <c r="G111" i="6"/>
  <c r="H111" i="6" s="1"/>
  <c r="I111" i="6" s="1"/>
  <c r="G27" i="6"/>
  <c r="H27" i="6" s="1"/>
  <c r="I27" i="6" s="1"/>
  <c r="G87" i="6"/>
  <c r="H87" i="6" s="1"/>
  <c r="I87" i="6" s="1"/>
  <c r="G97" i="6"/>
  <c r="H97" i="6" s="1"/>
  <c r="I97" i="6" s="1"/>
  <c r="G201" i="6"/>
  <c r="H201" i="6" s="1"/>
  <c r="I201" i="6" s="1"/>
  <c r="G199" i="6"/>
  <c r="H199" i="6" s="1"/>
  <c r="I199" i="6" s="1"/>
  <c r="G249" i="6"/>
  <c r="H249" i="6" s="1"/>
  <c r="I249" i="6" s="1"/>
  <c r="G175" i="6"/>
  <c r="H175" i="6" s="1"/>
  <c r="I175" i="6" s="1"/>
  <c r="G182" i="6"/>
  <c r="H182" i="6" s="1"/>
  <c r="I182" i="6" s="1"/>
  <c r="G95" i="6"/>
  <c r="H95" i="6" s="1"/>
  <c r="I95" i="6" s="1"/>
  <c r="G41" i="6"/>
  <c r="H41" i="6" s="1"/>
  <c r="I41" i="6" s="1"/>
  <c r="G81" i="6"/>
  <c r="H81" i="6" s="1"/>
  <c r="I81" i="6" s="1"/>
  <c r="G24" i="6"/>
  <c r="H24" i="6" s="1"/>
  <c r="I24" i="6" s="1"/>
  <c r="G158" i="6"/>
  <c r="H158" i="6" s="1"/>
  <c r="I158" i="6" s="1"/>
  <c r="G52" i="6"/>
  <c r="H52" i="6" s="1"/>
  <c r="I52" i="6" s="1"/>
  <c r="G99" i="6"/>
  <c r="H99" i="6" s="1"/>
  <c r="I99" i="6" s="1"/>
  <c r="G72" i="6"/>
  <c r="H72" i="6" s="1"/>
  <c r="I72" i="6" s="1"/>
  <c r="G38" i="6"/>
  <c r="H38" i="6" s="1"/>
  <c r="I38" i="6" s="1"/>
  <c r="G140" i="6"/>
  <c r="H140" i="6" s="1"/>
  <c r="I140" i="6" s="1"/>
  <c r="G181" i="6"/>
  <c r="H181" i="6" s="1"/>
  <c r="I181" i="6" s="1"/>
  <c r="G196" i="6"/>
  <c r="H196" i="6" s="1"/>
  <c r="I196" i="6" s="1"/>
  <c r="G105" i="6"/>
  <c r="H105" i="6" s="1"/>
  <c r="I105" i="6" s="1"/>
  <c r="G189" i="6"/>
  <c r="H189" i="6" s="1"/>
  <c r="I189" i="6" s="1"/>
  <c r="G205" i="6"/>
  <c r="H205" i="6" s="1"/>
  <c r="I205" i="6" s="1"/>
  <c r="G254" i="6"/>
  <c r="H254" i="6" s="1"/>
  <c r="I254" i="6" s="1"/>
  <c r="G9" i="6"/>
  <c r="H9" i="6" s="1"/>
  <c r="I9" i="6" s="1"/>
  <c r="G279" i="6"/>
  <c r="H279" i="6" s="1"/>
  <c r="I279" i="6" s="1"/>
  <c r="G296" i="6"/>
  <c r="H296" i="6" s="1"/>
  <c r="I296" i="6" s="1"/>
  <c r="G295" i="6"/>
  <c r="H295" i="6" s="1"/>
  <c r="I295" i="6" s="1"/>
  <c r="G285" i="6"/>
  <c r="H285" i="6" s="1"/>
  <c r="I285" i="6" s="1"/>
  <c r="G193" i="6"/>
  <c r="H193" i="6" s="1"/>
  <c r="I193" i="6" s="1"/>
  <c r="G122" i="6"/>
  <c r="H122" i="6" s="1"/>
  <c r="I122" i="6" s="1"/>
  <c r="G117" i="6"/>
  <c r="H117" i="6" s="1"/>
  <c r="I117" i="6" s="1"/>
  <c r="G179" i="6"/>
  <c r="H179" i="6" s="1"/>
  <c r="I179" i="6" s="1"/>
  <c r="G133" i="6"/>
  <c r="H133" i="6" s="1"/>
  <c r="I133" i="6" s="1"/>
  <c r="G250" i="6"/>
  <c r="H250" i="6" s="1"/>
  <c r="I250" i="6" s="1"/>
  <c r="G164" i="6"/>
  <c r="H164" i="6" s="1"/>
  <c r="I164" i="6" s="1"/>
  <c r="G232" i="6"/>
  <c r="H232" i="6" s="1"/>
  <c r="I232" i="6" s="1"/>
  <c r="G157" i="6"/>
  <c r="H157" i="6" s="1"/>
  <c r="I157" i="6" s="1"/>
  <c r="G23" i="6"/>
  <c r="H23" i="6" s="1"/>
  <c r="I23" i="6" s="1"/>
  <c r="G92" i="6"/>
  <c r="H92" i="6" s="1"/>
  <c r="I92" i="6" s="1"/>
  <c r="G36" i="6"/>
  <c r="H36" i="6" s="1"/>
  <c r="I36" i="6" s="1"/>
  <c r="G28" i="6"/>
  <c r="H28" i="6" s="1"/>
  <c r="I28" i="6" s="1"/>
  <c r="G77" i="6"/>
  <c r="H77" i="6" s="1"/>
  <c r="I77" i="6" s="1"/>
  <c r="G3" i="6"/>
  <c r="H3" i="6" s="1"/>
  <c r="I3" i="6" s="1"/>
  <c r="G169" i="6"/>
  <c r="H169" i="6" s="1"/>
  <c r="I169" i="6" s="1"/>
  <c r="G33" i="6"/>
  <c r="H33" i="6" s="1"/>
  <c r="I33" i="6" s="1"/>
  <c r="G197" i="6"/>
  <c r="H197" i="6" s="1"/>
  <c r="I197" i="6" s="1"/>
  <c r="G183" i="6"/>
  <c r="H183" i="6" s="1"/>
  <c r="I183" i="6" s="1"/>
  <c r="G42" i="6"/>
  <c r="H42" i="6" s="1"/>
  <c r="I42" i="6" s="1"/>
  <c r="G31" i="6"/>
  <c r="H31" i="6" s="1"/>
  <c r="I31" i="6" s="1"/>
  <c r="G202" i="6"/>
  <c r="H202" i="6" s="1"/>
  <c r="I202" i="6" s="1"/>
  <c r="G239" i="6"/>
  <c r="H239" i="6" s="1"/>
  <c r="I239" i="6" s="1"/>
  <c r="G30" i="6"/>
  <c r="H30" i="6" s="1"/>
  <c r="I30" i="6" s="1"/>
  <c r="G246" i="6"/>
  <c r="H246" i="6" s="1"/>
  <c r="I246" i="6" s="1"/>
  <c r="G90" i="6"/>
  <c r="H90" i="6" s="1"/>
  <c r="I90" i="6" s="1"/>
  <c r="G268" i="6"/>
  <c r="H268" i="6" s="1"/>
  <c r="I268" i="6" s="1"/>
  <c r="G276" i="6"/>
  <c r="H276" i="6" s="1"/>
  <c r="I276" i="6" s="1"/>
  <c r="G147" i="6"/>
  <c r="H147" i="6" s="1"/>
  <c r="I147" i="6" s="1"/>
  <c r="G316" i="6"/>
  <c r="H316" i="6" s="1"/>
  <c r="I316" i="6" s="1"/>
  <c r="G278" i="6"/>
  <c r="H278" i="6" s="1"/>
  <c r="I278" i="6" s="1"/>
  <c r="G236" i="6"/>
  <c r="H236" i="6" s="1"/>
  <c r="I236" i="6" s="1"/>
  <c r="G215" i="6"/>
  <c r="H215" i="6" s="1"/>
  <c r="I215" i="6" s="1"/>
  <c r="G288" i="6"/>
  <c r="H288" i="6" s="1"/>
  <c r="I288" i="6" s="1"/>
  <c r="G315" i="6"/>
  <c r="H315" i="6" s="1"/>
  <c r="I315" i="6" s="1"/>
  <c r="G286" i="6"/>
  <c r="H286" i="6" s="1"/>
  <c r="I286" i="6" s="1"/>
  <c r="G209" i="6"/>
  <c r="H209" i="6" s="1"/>
  <c r="I209" i="6" s="1"/>
  <c r="G114" i="6"/>
  <c r="H114" i="6" s="1"/>
  <c r="I114" i="6" s="1"/>
  <c r="G73" i="6"/>
  <c r="H73" i="6" s="1"/>
  <c r="I73" i="6" s="1"/>
  <c r="G171" i="6"/>
  <c r="H171" i="6" s="1"/>
  <c r="I171" i="6" s="1"/>
  <c r="G176" i="6"/>
  <c r="H176" i="6" s="1"/>
  <c r="I176" i="6" s="1"/>
  <c r="G32" i="6"/>
  <c r="H32" i="6" s="1"/>
  <c r="I32" i="6" s="1"/>
  <c r="G66" i="6"/>
  <c r="H66" i="6" s="1"/>
  <c r="I66" i="6" s="1"/>
  <c r="G88" i="6"/>
  <c r="H88" i="6" s="1"/>
  <c r="I88" i="6" s="1"/>
  <c r="G14" i="6"/>
  <c r="H14" i="6" s="1"/>
  <c r="I14" i="6" s="1"/>
  <c r="G7" i="6"/>
  <c r="H7" i="6" s="1"/>
  <c r="I7" i="6" s="1"/>
  <c r="G48" i="6"/>
  <c r="H48" i="6" s="1"/>
  <c r="I48" i="6" s="1"/>
  <c r="G46" i="6"/>
  <c r="H46" i="6" s="1"/>
  <c r="I46" i="6" s="1"/>
  <c r="G8" i="6"/>
  <c r="H8" i="6" s="1"/>
  <c r="I8" i="6" s="1"/>
  <c r="G51" i="6"/>
  <c r="H51" i="6" s="1"/>
  <c r="I51" i="6" s="1"/>
  <c r="G85" i="6"/>
  <c r="H85" i="6" s="1"/>
  <c r="I85" i="6" s="1"/>
  <c r="G134" i="6"/>
  <c r="H134" i="6" s="1"/>
  <c r="I134" i="6" s="1"/>
  <c r="G68" i="6"/>
  <c r="H68" i="6" s="1"/>
  <c r="I68" i="6" s="1"/>
  <c r="G173" i="6"/>
  <c r="H173" i="6" s="1"/>
  <c r="I173" i="6" s="1"/>
  <c r="G59" i="6"/>
  <c r="H59" i="6" s="1"/>
  <c r="I59" i="6" s="1"/>
  <c r="G263" i="6"/>
  <c r="H263" i="6" s="1"/>
  <c r="I263" i="6" s="1"/>
  <c r="G112" i="6"/>
  <c r="H112" i="6" s="1"/>
  <c r="I112" i="6" s="1"/>
  <c r="G26" i="6"/>
  <c r="H26" i="6" s="1"/>
  <c r="I26" i="6" s="1"/>
  <c r="G188" i="6"/>
  <c r="H188" i="6" s="1"/>
  <c r="I188" i="6" s="1"/>
  <c r="G142" i="6"/>
  <c r="H142" i="6" s="1"/>
  <c r="I142" i="6" s="1"/>
  <c r="G19" i="6"/>
  <c r="H19" i="6" s="1"/>
  <c r="I19" i="6" s="1"/>
  <c r="G162" i="6"/>
  <c r="H162" i="6" s="1"/>
  <c r="I162" i="6" s="1"/>
  <c r="G153" i="6"/>
  <c r="H153" i="6" s="1"/>
  <c r="I153" i="6" s="1"/>
  <c r="G49" i="6"/>
  <c r="H49" i="6" s="1"/>
  <c r="I49" i="6" s="1"/>
  <c r="G210" i="6"/>
  <c r="H210" i="6" s="1"/>
  <c r="I210" i="6" s="1"/>
  <c r="G222" i="6"/>
  <c r="H222" i="6" s="1"/>
  <c r="I222" i="6" s="1"/>
  <c r="G82" i="6"/>
  <c r="H82" i="6" s="1"/>
  <c r="I82" i="6" s="1"/>
  <c r="G255" i="6"/>
  <c r="H255" i="6" s="1"/>
  <c r="I255" i="6" s="1"/>
  <c r="G139" i="6"/>
  <c r="H139" i="6" s="1"/>
  <c r="I139" i="6" s="1"/>
  <c r="G150" i="6"/>
  <c r="H150" i="6" s="1"/>
  <c r="I150" i="6" s="1"/>
  <c r="G174" i="6"/>
  <c r="H174" i="6" s="1"/>
  <c r="I174" i="6" s="1"/>
  <c r="G146" i="6"/>
  <c r="H146" i="6" s="1"/>
  <c r="I146" i="6" s="1"/>
  <c r="G58" i="6"/>
  <c r="H58" i="6" s="1"/>
  <c r="I58" i="6" s="1"/>
  <c r="G119" i="6"/>
  <c r="H119" i="6" s="1"/>
  <c r="I119" i="6" s="1"/>
  <c r="G151" i="6"/>
  <c r="H151" i="6" s="1"/>
  <c r="I151" i="6" s="1"/>
  <c r="G144" i="6"/>
  <c r="H144" i="6" s="1"/>
  <c r="I144" i="6" s="1"/>
  <c r="G234" i="6"/>
  <c r="H234" i="6" s="1"/>
  <c r="I234" i="6" s="1"/>
  <c r="G272" i="6"/>
  <c r="H272" i="6" s="1"/>
  <c r="I272" i="6" s="1"/>
  <c r="G253" i="6"/>
  <c r="H253" i="6" s="1"/>
  <c r="I253" i="6" s="1"/>
  <c r="G299" i="6"/>
  <c r="H299" i="6" s="1"/>
  <c r="I299" i="6" s="1"/>
  <c r="G275" i="6"/>
  <c r="H275" i="6" s="1"/>
  <c r="I275" i="6" s="1"/>
  <c r="G156" i="6"/>
  <c r="H156" i="6" s="1"/>
  <c r="I156" i="6" s="1"/>
  <c r="G155" i="6"/>
  <c r="H155" i="6" s="1"/>
  <c r="I155" i="6" s="1"/>
  <c r="G127" i="6"/>
  <c r="H127" i="6" s="1"/>
  <c r="I127" i="6" s="1"/>
  <c r="G120" i="6"/>
  <c r="H120" i="6" s="1"/>
  <c r="I120" i="6" s="1"/>
  <c r="G200" i="6"/>
  <c r="H200" i="6" s="1"/>
  <c r="I200" i="6" s="1"/>
  <c r="G71" i="6"/>
  <c r="H71" i="6" s="1"/>
  <c r="I71" i="6" s="1"/>
  <c r="G104" i="6"/>
  <c r="H104" i="6" s="1"/>
  <c r="I104" i="6" s="1"/>
  <c r="G219" i="6"/>
  <c r="H219" i="6" s="1"/>
  <c r="I219" i="6" s="1"/>
  <c r="G297" i="6"/>
  <c r="H297" i="6" s="1"/>
  <c r="I297" i="6" s="1"/>
  <c r="G261" i="6"/>
  <c r="H261" i="6" s="1"/>
  <c r="I261" i="6" s="1"/>
  <c r="G320" i="6"/>
  <c r="H320" i="6" s="1"/>
  <c r="I320" i="6" s="1"/>
  <c r="G300" i="6"/>
  <c r="H300" i="6" s="1"/>
  <c r="I300" i="6" s="1"/>
  <c r="G35" i="6"/>
  <c r="H35" i="6" s="1"/>
  <c r="I35" i="6" s="1"/>
  <c r="G145" i="6"/>
  <c r="H145" i="6" s="1"/>
  <c r="I145" i="6" s="1"/>
  <c r="G37" i="6"/>
  <c r="H37" i="6" s="1"/>
  <c r="I37" i="6" s="1"/>
  <c r="G15" i="6"/>
  <c r="H15" i="6" s="1"/>
  <c r="I15" i="6" s="1"/>
  <c r="G136" i="6"/>
  <c r="H136" i="6" s="1"/>
  <c r="I136" i="6" s="1"/>
  <c r="G13" i="6"/>
  <c r="H13" i="6" s="1"/>
  <c r="I13" i="6" s="1"/>
  <c r="G25" i="6"/>
  <c r="H25" i="6" s="1"/>
  <c r="I25" i="6" s="1"/>
  <c r="G5" i="6"/>
  <c r="H5" i="6" s="1"/>
  <c r="I5" i="6" s="1"/>
  <c r="G317" i="6"/>
  <c r="H317" i="6" s="1"/>
  <c r="I317" i="6" s="1"/>
  <c r="G281" i="6"/>
  <c r="H281" i="6" s="1"/>
  <c r="I281" i="6" s="1"/>
  <c r="G185" i="6"/>
  <c r="H185" i="6" s="1"/>
  <c r="I185" i="6" s="1"/>
  <c r="G306" i="6"/>
  <c r="H306" i="6" s="1"/>
  <c r="I306" i="6" s="1"/>
  <c r="G121" i="6"/>
  <c r="H121" i="6" s="1"/>
  <c r="I121" i="6" s="1"/>
  <c r="G191" i="6"/>
  <c r="H191" i="6" s="1"/>
  <c r="I191" i="6" s="1"/>
  <c r="G18" i="6"/>
  <c r="H18" i="6" s="1"/>
  <c r="I18" i="6" s="1"/>
  <c r="G130" i="6"/>
  <c r="H130" i="6" s="1"/>
  <c r="I130" i="6" s="1"/>
  <c r="G137" i="6"/>
  <c r="H137" i="6" s="1"/>
  <c r="I137" i="6" s="1"/>
  <c r="G163" i="6"/>
  <c r="H163" i="6" s="1"/>
  <c r="I163" i="6" s="1"/>
  <c r="G10" i="6"/>
  <c r="H10" i="6" s="1"/>
  <c r="I10" i="6" s="1"/>
  <c r="G40" i="6"/>
  <c r="H40" i="6" s="1"/>
  <c r="I40" i="6" s="1"/>
  <c r="G108" i="6"/>
  <c r="H108" i="6" s="1"/>
  <c r="I108" i="6" s="1"/>
  <c r="G221" i="6"/>
  <c r="H221" i="6" s="1"/>
  <c r="I221" i="6" s="1"/>
  <c r="G177" i="6"/>
  <c r="H177" i="6" s="1"/>
  <c r="I177" i="6" s="1"/>
  <c r="G107" i="6"/>
  <c r="H107" i="6" s="1"/>
  <c r="I107" i="6" s="1"/>
  <c r="G180" i="6"/>
  <c r="H180" i="6" s="1"/>
  <c r="I180" i="6" s="1"/>
  <c r="G39" i="6"/>
  <c r="H39" i="6" s="1"/>
  <c r="I39" i="6" s="1"/>
  <c r="G60" i="6"/>
  <c r="H60" i="6" s="1"/>
  <c r="I60" i="6" s="1"/>
  <c r="G102" i="6"/>
  <c r="H102" i="6" s="1"/>
  <c r="I102" i="6" s="1"/>
  <c r="G203" i="6"/>
  <c r="H203" i="6" s="1"/>
  <c r="I203" i="6" s="1"/>
  <c r="G79" i="6"/>
  <c r="H79" i="6" s="1"/>
  <c r="I79" i="6" s="1"/>
  <c r="G266" i="6"/>
  <c r="H266" i="6" s="1"/>
  <c r="I266" i="6" s="1"/>
  <c r="G204" i="6"/>
  <c r="H204" i="6" s="1"/>
  <c r="I204" i="6" s="1"/>
  <c r="G166" i="6"/>
  <c r="H166" i="6" s="1"/>
  <c r="I166" i="6" s="1"/>
  <c r="G244" i="6"/>
  <c r="H244" i="6" s="1"/>
  <c r="I244" i="6" s="1"/>
  <c r="G80" i="6"/>
  <c r="H80" i="6" s="1"/>
  <c r="I80" i="6" s="1"/>
  <c r="G159" i="6"/>
  <c r="H159" i="6" s="1"/>
  <c r="I159" i="6" s="1"/>
  <c r="G251" i="6"/>
  <c r="H251" i="6" s="1"/>
  <c r="I251" i="6" s="1"/>
  <c r="G17" i="6"/>
  <c r="H17" i="6" s="1"/>
  <c r="I17" i="6" s="1"/>
  <c r="G75" i="6"/>
  <c r="H75" i="6" s="1"/>
  <c r="I75" i="6" s="1"/>
  <c r="G264" i="6"/>
  <c r="H264" i="6" s="1"/>
  <c r="I264" i="6" s="1"/>
  <c r="G247" i="6"/>
  <c r="H247" i="6" s="1"/>
  <c r="I247" i="6" s="1"/>
  <c r="G98" i="6"/>
  <c r="H98" i="6" s="1"/>
  <c r="I98" i="6" s="1"/>
  <c r="G240" i="6"/>
  <c r="H240" i="6" s="1"/>
  <c r="I240" i="6" s="1"/>
  <c r="G109" i="6"/>
  <c r="H109" i="6" s="1"/>
  <c r="I109" i="6" s="1"/>
  <c r="G313" i="6"/>
  <c r="H313" i="6" s="1"/>
  <c r="I313" i="6" s="1"/>
  <c r="G231" i="6"/>
  <c r="H231" i="6" s="1"/>
  <c r="I231" i="6" s="1"/>
  <c r="G245" i="6"/>
  <c r="H245" i="6" s="1"/>
  <c r="I245" i="6" s="1"/>
  <c r="G260" i="6"/>
  <c r="H260" i="6" s="1"/>
  <c r="I260" i="6" s="1"/>
  <c r="G262" i="6"/>
  <c r="H262" i="6" s="1"/>
  <c r="I262" i="6" s="1"/>
  <c r="G91" i="6"/>
  <c r="H91" i="6" s="1"/>
  <c r="I91" i="6" s="1"/>
  <c r="G152" i="6"/>
  <c r="H152" i="6" s="1"/>
  <c r="I152" i="6" s="1"/>
  <c r="G225" i="6"/>
  <c r="H225" i="6" s="1"/>
  <c r="I225" i="6" s="1"/>
  <c r="G207" i="6"/>
  <c r="H207" i="6" s="1"/>
  <c r="I207" i="6" s="1"/>
  <c r="G47" i="6"/>
  <c r="H47" i="6" s="1"/>
  <c r="I47" i="6" s="1"/>
  <c r="G141" i="6"/>
  <c r="H141" i="6" s="1"/>
  <c r="I141" i="6" s="1"/>
  <c r="G195" i="6"/>
  <c r="H195" i="6" s="1"/>
  <c r="I195" i="6" s="1"/>
  <c r="G172" i="6"/>
  <c r="H172" i="6" s="1"/>
  <c r="I172" i="6" s="1"/>
  <c r="G45" i="6"/>
  <c r="H45" i="6" s="1"/>
  <c r="I45" i="6" s="1"/>
  <c r="G242" i="6"/>
  <c r="H242" i="6" s="1"/>
  <c r="I242" i="6" s="1"/>
  <c r="G223" i="6"/>
  <c r="H223" i="6" s="1"/>
  <c r="I223" i="6" s="1"/>
  <c r="G165" i="6"/>
  <c r="H165" i="6" s="1"/>
  <c r="I165" i="6" s="1"/>
  <c r="G252" i="6"/>
  <c r="H252" i="6" s="1"/>
  <c r="I252" i="6" s="1"/>
  <c r="G311" i="6"/>
  <c r="H311" i="6" s="1"/>
  <c r="I311" i="6" s="1"/>
  <c r="G168" i="6"/>
  <c r="H168" i="6" s="1"/>
  <c r="I168" i="6" s="1"/>
  <c r="G106" i="6"/>
  <c r="H106" i="6" s="1"/>
  <c r="I106" i="6" s="1"/>
  <c r="G211" i="6"/>
  <c r="H211" i="6" s="1"/>
  <c r="I211" i="6" s="1"/>
  <c r="G135" i="6"/>
  <c r="H135" i="6" s="1"/>
  <c r="I135" i="6" s="1"/>
  <c r="G69" i="6"/>
  <c r="H69" i="6" s="1"/>
  <c r="I69" i="6" s="1"/>
  <c r="G70" i="6"/>
  <c r="H70" i="6" s="1"/>
  <c r="I70" i="6" s="1"/>
  <c r="G270" i="6"/>
  <c r="H270" i="6" s="1"/>
  <c r="I270" i="6" s="1"/>
  <c r="G218" i="6"/>
  <c r="H218" i="6" s="1"/>
  <c r="I218" i="6" s="1"/>
  <c r="G84" i="6"/>
  <c r="H84" i="6" s="1"/>
  <c r="I84" i="6" s="1"/>
  <c r="G287" i="6"/>
  <c r="H287" i="6" s="1"/>
  <c r="I287" i="6" s="1"/>
  <c r="G233" i="6"/>
  <c r="H233" i="6" s="1"/>
  <c r="I233" i="6" s="1"/>
  <c r="G302" i="6"/>
  <c r="H302" i="6" s="1"/>
  <c r="I302" i="6" s="1"/>
  <c r="G303" i="6"/>
  <c r="H303" i="6" s="1"/>
  <c r="I303" i="6" s="1"/>
  <c r="G312" i="6"/>
  <c r="H312" i="6" s="1"/>
  <c r="I312" i="6" s="1"/>
  <c r="G110" i="6"/>
  <c r="H110" i="6" s="1"/>
  <c r="I110" i="6" s="1"/>
  <c r="G86" i="6"/>
  <c r="H86" i="6" s="1"/>
  <c r="I86" i="6" s="1"/>
  <c r="G314" i="6"/>
  <c r="H314" i="6" s="1"/>
  <c r="I314" i="6" s="1"/>
  <c r="G63" i="6"/>
  <c r="H63" i="6" s="1"/>
  <c r="I63" i="6" s="1"/>
  <c r="G206" i="6"/>
  <c r="H206" i="6" s="1"/>
  <c r="I206" i="6" s="1"/>
  <c r="G220" i="6"/>
  <c r="H220" i="6" s="1"/>
  <c r="I220" i="6" s="1"/>
  <c r="G241" i="6"/>
  <c r="H241" i="6" s="1"/>
  <c r="I241" i="6" s="1"/>
  <c r="G258" i="6"/>
  <c r="H258" i="6" s="1"/>
  <c r="I258" i="6" s="1"/>
  <c r="G230" i="6"/>
  <c r="H230" i="6" s="1"/>
  <c r="I230" i="6" s="1"/>
  <c r="G267" i="6"/>
  <c r="H267" i="6" s="1"/>
  <c r="I267" i="6" s="1"/>
  <c r="G273" i="6"/>
  <c r="H273" i="6" s="1"/>
  <c r="I273" i="6" s="1"/>
  <c r="G235" i="6"/>
  <c r="H235" i="6" s="1"/>
  <c r="I235" i="6" s="1"/>
  <c r="G170" i="6"/>
  <c r="H170" i="6" s="1"/>
  <c r="I170" i="6" s="1"/>
  <c r="G282" i="6"/>
  <c r="H282" i="6" s="1"/>
  <c r="I282" i="6" s="1"/>
  <c r="G259" i="6"/>
  <c r="H259" i="6" s="1"/>
  <c r="I259" i="6" s="1"/>
  <c r="G29" i="6"/>
  <c r="H29" i="6" s="1"/>
  <c r="I29" i="6" s="1"/>
  <c r="G101" i="6"/>
  <c r="H101" i="6" s="1"/>
  <c r="I101" i="6" s="1"/>
  <c r="G138" i="6"/>
  <c r="H138" i="6" s="1"/>
  <c r="I138" i="6" s="1"/>
  <c r="G21" i="6"/>
  <c r="H21" i="6" s="1"/>
  <c r="I21" i="6" s="1"/>
  <c r="G62" i="6"/>
  <c r="H62" i="6" s="1"/>
  <c r="I62" i="6" s="1"/>
  <c r="G50" i="6"/>
  <c r="H50" i="6" s="1"/>
  <c r="I50" i="6" s="1"/>
  <c r="G53" i="6"/>
  <c r="H53" i="6" s="1"/>
  <c r="I53" i="6" s="1"/>
  <c r="G228" i="6"/>
  <c r="H228" i="6" s="1"/>
  <c r="I228" i="6" s="1"/>
  <c r="G318" i="6"/>
  <c r="H318" i="6" s="1"/>
  <c r="I318" i="6" s="1"/>
  <c r="G309" i="6"/>
  <c r="H309" i="6" s="1"/>
  <c r="I309" i="6" s="1"/>
  <c r="G291" i="6"/>
  <c r="H291" i="6" s="1"/>
  <c r="I291" i="6" s="1"/>
  <c r="G308" i="6"/>
  <c r="H308" i="6" s="1"/>
  <c r="I308" i="6" s="1"/>
  <c r="G132" i="6"/>
  <c r="H132" i="6" s="1"/>
  <c r="I132" i="6" s="1"/>
  <c r="G61" i="6"/>
  <c r="H61" i="6" s="1"/>
  <c r="I61" i="6" s="1"/>
  <c r="G55" i="6"/>
  <c r="H55" i="6" s="1"/>
  <c r="I55" i="6" s="1"/>
  <c r="G43" i="6"/>
  <c r="H43" i="6" s="1"/>
  <c r="I43" i="6" s="1"/>
  <c r="G277" i="6"/>
  <c r="H277" i="6" s="1"/>
  <c r="I277" i="6" s="1"/>
  <c r="G271" i="6"/>
  <c r="H271" i="6" s="1"/>
  <c r="I271" i="6" s="1"/>
  <c r="G310" i="6"/>
  <c r="H310" i="6" s="1"/>
  <c r="I310" i="6" s="1"/>
  <c r="G319" i="6"/>
  <c r="H319" i="6" s="1"/>
  <c r="I319" i="6" s="1"/>
  <c r="G257" i="6"/>
  <c r="H257" i="6" s="1"/>
  <c r="I257" i="6" s="1"/>
  <c r="G194" i="6"/>
  <c r="H194" i="6" s="1"/>
  <c r="I194" i="6" s="1"/>
  <c r="G274" i="6"/>
  <c r="H274" i="6" s="1"/>
  <c r="I274" i="6" s="1"/>
  <c r="G186" i="6"/>
  <c r="H186" i="6" s="1"/>
  <c r="I186" i="6" s="1"/>
  <c r="G16" i="6"/>
  <c r="H16" i="6" s="1"/>
  <c r="I16" i="6" s="1"/>
  <c r="G103" i="6"/>
  <c r="H103" i="6" s="1"/>
  <c r="I103" i="6" s="1"/>
  <c r="G125" i="6"/>
  <c r="H125" i="6" s="1"/>
  <c r="I125" i="6" s="1"/>
  <c r="G4" i="6"/>
  <c r="H4" i="6" s="1"/>
  <c r="I4" i="6" s="1"/>
  <c r="G6" i="6"/>
  <c r="H6" i="6" s="1"/>
  <c r="I6" i="6" s="1"/>
  <c r="G124" i="6"/>
  <c r="H124" i="6" s="1"/>
  <c r="I124" i="6" s="1"/>
  <c r="G57" i="6"/>
  <c r="H57" i="6" s="1"/>
  <c r="I57" i="6" s="1"/>
  <c r="G2" i="6"/>
  <c r="H2" i="6" s="1"/>
  <c r="I2" i="6" s="1"/>
  <c r="G12" i="6"/>
  <c r="H12" i="6" s="1"/>
  <c r="I12" i="6" s="1"/>
  <c r="G34" i="6"/>
  <c r="H34" i="6" s="1"/>
  <c r="I34" i="6" s="1"/>
  <c r="G76" i="6"/>
  <c r="H76" i="6" s="1"/>
  <c r="I76" i="6" s="1"/>
  <c r="G126" i="6"/>
  <c r="H126" i="6" s="1"/>
  <c r="I126" i="6" s="1"/>
  <c r="G213" i="6"/>
  <c r="H213" i="6" s="1"/>
  <c r="I213" i="6" s="1"/>
  <c r="G190" i="6"/>
  <c r="H190" i="6" s="1"/>
  <c r="I190" i="6" s="1"/>
  <c r="G229" i="6"/>
  <c r="H229" i="6" s="1"/>
  <c r="I229" i="6" s="1"/>
  <c r="G184" i="6"/>
  <c r="H184" i="6" s="1"/>
  <c r="I184" i="6" s="1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4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7" i="3"/>
  <c r="V286" i="3"/>
  <c r="V285" i="3"/>
  <c r="V284" i="3"/>
  <c r="V283" i="3"/>
  <c r="V282" i="3"/>
  <c r="V281" i="3"/>
  <c r="V280" i="3"/>
  <c r="V279" i="3"/>
  <c r="V278" i="3"/>
  <c r="V277" i="3"/>
  <c r="V276" i="3"/>
  <c r="V275" i="3"/>
  <c r="V274" i="3"/>
  <c r="V273" i="3"/>
  <c r="V272" i="3"/>
  <c r="V271" i="3"/>
  <c r="V270" i="3"/>
  <c r="V269" i="3"/>
  <c r="V268" i="3"/>
  <c r="V267" i="3"/>
  <c r="V266" i="3"/>
  <c r="V265" i="3"/>
  <c r="V264" i="3"/>
  <c r="V263" i="3"/>
  <c r="V262" i="3"/>
  <c r="V261" i="3"/>
  <c r="V260" i="3"/>
  <c r="V259" i="3"/>
  <c r="V258" i="3"/>
  <c r="V257" i="3"/>
  <c r="V256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8" i="3"/>
  <c r="V217" i="3"/>
  <c r="V216" i="3"/>
  <c r="V215" i="3"/>
  <c r="V214" i="3"/>
  <c r="V213" i="3"/>
  <c r="V212" i="3"/>
  <c r="V211" i="3"/>
  <c r="V210" i="3"/>
  <c r="V209" i="3"/>
  <c r="V208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V2" i="3"/>
  <c r="F71" i="3" l="1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2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</calcChain>
</file>

<file path=xl/sharedStrings.xml><?xml version="1.0" encoding="utf-8"?>
<sst xmlns="http://schemas.openxmlformats.org/spreadsheetml/2006/main" count="3339" uniqueCount="130">
  <si>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</si>
  <si>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</si>
  <si>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</si>
  <si>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</si>
  <si>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</si>
  <si>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</si>
  <si>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</si>
  <si>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</si>
  <si>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</si>
  <si>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</si>
  <si>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</si>
  <si>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</si>
  <si>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</si>
  <si>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</si>
  <si>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</si>
  <si>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</si>
  <si>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</si>
  <si>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</si>
  <si>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</si>
  <si>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</si>
  <si>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</si>
  <si>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</si>
  <si>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</si>
  <si>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</si>
  <si>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</si>
  <si>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</si>
  <si>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</si>
  <si>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</si>
  <si>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</si>
  <si>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</si>
  <si>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</si>
  <si>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</si>
  <si>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</si>
  <si>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</si>
  <si>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</si>
  <si>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</si>
  <si>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</si>
  <si>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</si>
  <si>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</si>
  <si>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</si>
  <si>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</si>
  <si>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</si>
  <si>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</si>
  <si>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</si>
  <si>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</si>
  <si>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</si>
  <si>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</si>
  <si>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</si>
  <si>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</si>
  <si>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</si>
  <si>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</si>
  <si>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</si>
  <si>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</si>
  <si>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</si>
  <si>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</si>
  <si>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</si>
  <si>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</si>
  <si>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</si>
  <si>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</si>
  <si>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</si>
  <si>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</si>
  <si>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</si>
  <si>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</si>
  <si>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</si>
  <si>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</si>
  <si>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</si>
  <si>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</si>
  <si>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</si>
  <si>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</si>
  <si>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</si>
  <si>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</si>
  <si>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</si>
  <si>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</si>
  <si>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</si>
  <si>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</si>
  <si>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</si>
  <si>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</si>
  <si>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</si>
  <si>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</si>
  <si>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</si>
  <si>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</si>
  <si>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</si>
  <si>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</si>
  <si>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</si>
  <si>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</si>
  <si>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</si>
  <si>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</si>
  <si>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</si>
  <si>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</si>
  <si>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</si>
  <si>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</si>
  <si>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</si>
  <si>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</si>
  <si>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</si>
  <si>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</si>
  <si>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</si>
  <si>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</si>
  <si>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</si>
  <si>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</si>
  <si>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</si>
  <si>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</si>
  <si>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</si>
  <si>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Region_North</t>
  </si>
  <si>
    <t>Region_South</t>
  </si>
  <si>
    <t>Region_East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</si>
  <si>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</si>
  <si>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</si>
  <si>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</si>
  <si>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</si>
  <si>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</si>
  <si>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</si>
  <si>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</si>
  <si>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</si>
  <si>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</si>
  <si>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</si>
  <si>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</si>
  <si>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</si>
  <si>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</si>
  <si>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</si>
  <si>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</si>
  <si>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</si>
  <si>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</si>
  <si>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</si>
  <si>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</si>
  <si>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</si>
  <si>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</si>
  <si>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</si>
  <si>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</si>
  <si>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</si>
  <si>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Predicted_Sales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</si>
</sst>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"/>
  </numFmts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2" borderId="0" xfId="1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/>
    <xf numFmtId="164" fontId="2" fillId="0" borderId="0" xfId="1" applyNumberFormat="1" applyFont="1" applyFill="1" applyBorder="1" applyAlignment="1"/>
    <xf numFmtId="0" fontId="3" fillId="2" borderId="0" xfId="1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/>
    <xf numFmtId="164" fontId="2" fillId="0" borderId="0" xfId="1" applyNumberFormat="1" applyFont="1" applyFill="1" applyBorder="1" applyAlignment="1"/>
    <xf numFmtId="0" fontId="1" fillId="3" borderId="0" xfId="0" applyFont="1" applyFill="1" applyAlignment="1">
      <alignment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1"/>
  <sheetViews>
    <sheetView workbookViewId="0">
      <selection activeCell="P4" sqref="P4"/>
    </sheetView>
  </sheetViews>
  <sheetFormatPr defaultRowHeight="15"/>
  <sheetData>
    <row r="1" spans="1:14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45658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 s="2">
        <v>17</v>
      </c>
      <c r="I2" s="2">
        <v>75</v>
      </c>
      <c r="J2" s="2">
        <v>5.28</v>
      </c>
      <c r="K2" s="2">
        <v>1</v>
      </c>
      <c r="L2" s="2">
        <v>3.1</v>
      </c>
      <c r="M2" s="2">
        <v>658832.62</v>
      </c>
      <c r="N2" s="2">
        <v>84349.93</v>
      </c>
    </row>
    <row r="3" spans="1:14">
      <c r="A3" s="2" t="s">
        <v>14</v>
      </c>
      <c r="B3" s="3">
        <v>45689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 s="2">
        <v>23</v>
      </c>
      <c r="I3" s="2">
        <v>84.4</v>
      </c>
      <c r="J3" s="2">
        <v>4.3099999999999996</v>
      </c>
      <c r="K3" s="2">
        <v>0</v>
      </c>
      <c r="L3" s="2">
        <v>2.8</v>
      </c>
      <c r="M3" s="2">
        <v>634436</v>
      </c>
      <c r="N3" s="2">
        <v>106130.54</v>
      </c>
    </row>
    <row r="4" spans="1:14">
      <c r="A4" s="2" t="s">
        <v>14</v>
      </c>
      <c r="B4" s="3">
        <v>45717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 s="2">
        <v>20</v>
      </c>
      <c r="I4" s="2">
        <v>88</v>
      </c>
      <c r="J4" s="2">
        <v>12</v>
      </c>
      <c r="K4" s="2">
        <v>0</v>
      </c>
      <c r="L4" s="2">
        <v>3.2</v>
      </c>
      <c r="M4" s="2">
        <v>678722.06</v>
      </c>
      <c r="N4" s="2">
        <v>101883.86</v>
      </c>
    </row>
    <row r="5" spans="1:14">
      <c r="A5" s="2" t="s">
        <v>14</v>
      </c>
      <c r="B5" s="3">
        <v>45748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 s="2">
        <v>23</v>
      </c>
      <c r="I5" s="2">
        <v>86.9</v>
      </c>
      <c r="J5" s="2">
        <v>4.97</v>
      </c>
      <c r="K5" s="2">
        <v>0</v>
      </c>
      <c r="L5" s="2">
        <v>3.4</v>
      </c>
      <c r="M5" s="2">
        <v>658920.30000000005</v>
      </c>
      <c r="N5" s="2">
        <v>97910.37</v>
      </c>
    </row>
    <row r="6" spans="1:14">
      <c r="A6" s="2" t="s">
        <v>17</v>
      </c>
      <c r="B6" s="3">
        <v>45658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 s="2">
        <v>21</v>
      </c>
      <c r="I6" s="2">
        <v>97.6</v>
      </c>
      <c r="J6" s="2">
        <v>6.94</v>
      </c>
      <c r="K6" s="2">
        <v>1</v>
      </c>
      <c r="L6" s="2">
        <v>4.2</v>
      </c>
      <c r="M6" s="2">
        <v>741341.44</v>
      </c>
      <c r="N6" s="2">
        <v>119208.17</v>
      </c>
    </row>
    <row r="7" spans="1:14">
      <c r="A7" s="2" t="s">
        <v>17</v>
      </c>
      <c r="B7" s="3">
        <v>45689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 s="2">
        <v>20</v>
      </c>
      <c r="I7" s="2">
        <v>84.2</v>
      </c>
      <c r="J7" s="2">
        <v>2.88</v>
      </c>
      <c r="K7" s="2">
        <v>0</v>
      </c>
      <c r="L7" s="2">
        <v>4.2</v>
      </c>
      <c r="M7" s="2">
        <v>761835.34</v>
      </c>
      <c r="N7" s="2">
        <v>149602.23000000001</v>
      </c>
    </row>
    <row r="8" spans="1:14">
      <c r="A8" s="2" t="s">
        <v>17</v>
      </c>
      <c r="B8" s="3">
        <v>45717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 s="2">
        <v>22</v>
      </c>
      <c r="I8" s="2">
        <v>85.2</v>
      </c>
      <c r="J8" s="2">
        <v>0.2</v>
      </c>
      <c r="K8" s="2">
        <v>1</v>
      </c>
      <c r="L8" s="2">
        <v>4.0999999999999996</v>
      </c>
      <c r="M8" s="2">
        <v>806615.54</v>
      </c>
      <c r="N8" s="2">
        <v>131364.62</v>
      </c>
    </row>
    <row r="9" spans="1:14">
      <c r="A9" s="2" t="s">
        <v>17</v>
      </c>
      <c r="B9" s="3">
        <v>45748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 s="2">
        <v>23</v>
      </c>
      <c r="I9" s="2">
        <v>95.6</v>
      </c>
      <c r="J9" s="2">
        <v>0.8</v>
      </c>
      <c r="K9" s="2">
        <v>0</v>
      </c>
      <c r="L9" s="2">
        <v>3.9</v>
      </c>
      <c r="M9" s="2">
        <v>850164.26</v>
      </c>
      <c r="N9" s="2">
        <v>149262.75</v>
      </c>
    </row>
    <row r="10" spans="1:14">
      <c r="A10" s="2" t="s">
        <v>19</v>
      </c>
      <c r="B10" s="3">
        <v>45658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 s="2">
        <v>26</v>
      </c>
      <c r="I10" s="2">
        <v>88.6</v>
      </c>
      <c r="J10" s="2">
        <v>7.7</v>
      </c>
      <c r="K10" s="2">
        <v>1</v>
      </c>
      <c r="L10" s="2">
        <v>3.8</v>
      </c>
      <c r="M10" s="2">
        <v>930581.7</v>
      </c>
      <c r="N10" s="2">
        <v>136207.98000000001</v>
      </c>
    </row>
    <row r="11" spans="1:14">
      <c r="A11" s="2" t="s">
        <v>19</v>
      </c>
      <c r="B11" s="3">
        <v>45689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 s="2">
        <v>21</v>
      </c>
      <c r="I11" s="2">
        <v>85</v>
      </c>
      <c r="J11" s="2">
        <v>1.91</v>
      </c>
      <c r="K11" s="2">
        <v>0</v>
      </c>
      <c r="L11" s="2">
        <v>4.2</v>
      </c>
      <c r="M11" s="2">
        <v>779010.94</v>
      </c>
      <c r="N11" s="2">
        <v>106328.09</v>
      </c>
    </row>
    <row r="12" spans="1:14">
      <c r="A12" s="2" t="s">
        <v>19</v>
      </c>
      <c r="B12" s="3">
        <v>45717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 s="2">
        <v>22</v>
      </c>
      <c r="I12" s="2">
        <v>88.3</v>
      </c>
      <c r="J12" s="2">
        <v>10.46</v>
      </c>
      <c r="K12" s="2">
        <v>1</v>
      </c>
      <c r="L12" s="2">
        <v>3.8</v>
      </c>
      <c r="M12" s="2">
        <v>723060.76</v>
      </c>
      <c r="N12" s="2">
        <v>123131.24</v>
      </c>
    </row>
    <row r="13" spans="1:14">
      <c r="A13" s="2" t="s">
        <v>19</v>
      </c>
      <c r="B13" s="3">
        <v>45748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 s="2">
        <v>28</v>
      </c>
      <c r="I13" s="2">
        <v>85.3</v>
      </c>
      <c r="J13" s="2">
        <v>7.16</v>
      </c>
      <c r="K13" s="2">
        <v>0</v>
      </c>
      <c r="L13" s="2">
        <v>3.8</v>
      </c>
      <c r="M13" s="2">
        <v>910791.94</v>
      </c>
      <c r="N13" s="2">
        <v>158891.28</v>
      </c>
    </row>
    <row r="14" spans="1:14">
      <c r="A14" s="2" t="s">
        <v>22</v>
      </c>
      <c r="B14" s="3">
        <v>45658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 s="2">
        <v>30</v>
      </c>
      <c r="I14" s="2">
        <v>81.7</v>
      </c>
      <c r="J14" s="2">
        <v>4.24</v>
      </c>
      <c r="K14" s="2">
        <v>1</v>
      </c>
      <c r="L14" s="2">
        <v>4.2</v>
      </c>
      <c r="M14" s="2">
        <v>922168.6</v>
      </c>
      <c r="N14" s="2">
        <v>107494.53</v>
      </c>
    </row>
    <row r="15" spans="1:14">
      <c r="A15" s="2" t="s">
        <v>22</v>
      </c>
      <c r="B15" s="3">
        <v>45689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 s="2">
        <v>24</v>
      </c>
      <c r="I15" s="2">
        <v>84.9</v>
      </c>
      <c r="J15" s="2">
        <v>1.06</v>
      </c>
      <c r="K15" s="2">
        <v>0</v>
      </c>
      <c r="L15" s="2">
        <v>4.3</v>
      </c>
      <c r="M15" s="2">
        <v>726606.28</v>
      </c>
      <c r="N15" s="2">
        <v>122729.29</v>
      </c>
    </row>
    <row r="16" spans="1:14">
      <c r="A16" s="2" t="s">
        <v>22</v>
      </c>
      <c r="B16" s="3">
        <v>45717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 s="2">
        <v>23</v>
      </c>
      <c r="I16" s="2">
        <v>88.8</v>
      </c>
      <c r="J16" s="2">
        <v>0.27</v>
      </c>
      <c r="K16" s="2">
        <v>0</v>
      </c>
      <c r="L16" s="2">
        <v>4.3</v>
      </c>
      <c r="M16" s="2">
        <v>746501.09</v>
      </c>
      <c r="N16" s="2">
        <v>136816.72</v>
      </c>
    </row>
    <row r="17" spans="1:14">
      <c r="A17" s="2" t="s">
        <v>22</v>
      </c>
      <c r="B17" s="3">
        <v>45748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 s="2">
        <v>26</v>
      </c>
      <c r="I17" s="2">
        <v>76.5</v>
      </c>
      <c r="J17" s="2">
        <v>1.32</v>
      </c>
      <c r="K17" s="2">
        <v>0</v>
      </c>
      <c r="L17" s="2">
        <v>4.5</v>
      </c>
      <c r="M17" s="2">
        <v>834017.02</v>
      </c>
      <c r="N17" s="2">
        <v>114745.03</v>
      </c>
    </row>
    <row r="18" spans="1:14">
      <c r="A18" s="2" t="s">
        <v>23</v>
      </c>
      <c r="B18" s="3">
        <v>45658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 s="2">
        <v>15</v>
      </c>
      <c r="I18" s="2">
        <v>87.7</v>
      </c>
      <c r="J18" s="2">
        <v>1.22</v>
      </c>
      <c r="K18" s="2">
        <v>0</v>
      </c>
      <c r="L18" s="2">
        <v>3.7</v>
      </c>
      <c r="M18" s="2">
        <v>666152.52</v>
      </c>
      <c r="N18" s="2">
        <v>107490.58</v>
      </c>
    </row>
    <row r="19" spans="1:14">
      <c r="A19" s="2" t="s">
        <v>23</v>
      </c>
      <c r="B19" s="3">
        <v>45689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 s="2">
        <v>9</v>
      </c>
      <c r="I19" s="2">
        <v>87.6</v>
      </c>
      <c r="J19" s="2">
        <v>4.01</v>
      </c>
      <c r="K19" s="2">
        <v>0</v>
      </c>
      <c r="L19" s="2">
        <v>3.6</v>
      </c>
      <c r="M19" s="2">
        <v>573155.18999999994</v>
      </c>
      <c r="N19" s="2">
        <v>83680.75</v>
      </c>
    </row>
    <row r="20" spans="1:14">
      <c r="A20" s="2" t="s">
        <v>23</v>
      </c>
      <c r="B20" s="3">
        <v>45717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 s="2">
        <v>15</v>
      </c>
      <c r="I20" s="2">
        <v>94.1</v>
      </c>
      <c r="J20" s="2">
        <v>0.2</v>
      </c>
      <c r="K20" s="2">
        <v>0</v>
      </c>
      <c r="L20" s="2">
        <v>3.9</v>
      </c>
      <c r="M20" s="2">
        <v>666573.19999999995</v>
      </c>
      <c r="N20" s="2">
        <v>140641.01999999999</v>
      </c>
    </row>
    <row r="21" spans="1:14">
      <c r="A21" s="2" t="s">
        <v>23</v>
      </c>
      <c r="B21" s="3">
        <v>45748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 s="2">
        <v>16</v>
      </c>
      <c r="I21" s="2">
        <v>88.3</v>
      </c>
      <c r="J21" s="2">
        <v>0.5</v>
      </c>
      <c r="K21" s="2">
        <v>0</v>
      </c>
      <c r="L21" s="2">
        <v>4</v>
      </c>
      <c r="M21" s="2">
        <v>591619.94999999995</v>
      </c>
      <c r="N21" s="2">
        <v>99521.35</v>
      </c>
    </row>
    <row r="22" spans="1:14">
      <c r="A22" s="2" t="s">
        <v>25</v>
      </c>
      <c r="B22" s="3">
        <v>45658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 s="2">
        <v>9</v>
      </c>
      <c r="I22" s="2">
        <v>84.8</v>
      </c>
      <c r="J22" s="2">
        <v>6.95</v>
      </c>
      <c r="K22" s="2">
        <v>0</v>
      </c>
      <c r="L22" s="2">
        <v>5</v>
      </c>
      <c r="M22" s="2">
        <v>415721.82</v>
      </c>
      <c r="N22" s="2">
        <v>61179.15</v>
      </c>
    </row>
    <row r="23" spans="1:14">
      <c r="A23" s="2" t="s">
        <v>25</v>
      </c>
      <c r="B23" s="3">
        <v>45689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 s="2">
        <v>8</v>
      </c>
      <c r="I23" s="2">
        <v>88.5</v>
      </c>
      <c r="J23" s="2">
        <v>0.2</v>
      </c>
      <c r="K23" s="2">
        <v>0</v>
      </c>
      <c r="L23" s="2">
        <v>5</v>
      </c>
      <c r="M23" s="2">
        <v>491905.13</v>
      </c>
      <c r="N23" s="2">
        <v>79212.259999999995</v>
      </c>
    </row>
    <row r="24" spans="1:14">
      <c r="A24" s="2" t="s">
        <v>25</v>
      </c>
      <c r="B24" s="3">
        <v>45717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 s="2">
        <v>13</v>
      </c>
      <c r="I24" s="2">
        <v>82</v>
      </c>
      <c r="J24" s="2">
        <v>1.61</v>
      </c>
      <c r="K24" s="2">
        <v>1</v>
      </c>
      <c r="L24" s="2">
        <v>4.5999999999999996</v>
      </c>
      <c r="M24" s="2">
        <v>555929.4</v>
      </c>
      <c r="N24" s="2">
        <v>115201.76</v>
      </c>
    </row>
    <row r="25" spans="1:14">
      <c r="A25" s="2" t="s">
        <v>25</v>
      </c>
      <c r="B25" s="3">
        <v>45748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 s="2">
        <v>12</v>
      </c>
      <c r="I25" s="2">
        <v>92.1</v>
      </c>
      <c r="J25" s="2">
        <v>1.55</v>
      </c>
      <c r="K25" s="2">
        <v>0</v>
      </c>
      <c r="L25" s="2">
        <v>4.7</v>
      </c>
      <c r="M25" s="2">
        <v>565810.99</v>
      </c>
      <c r="N25" s="2">
        <v>77825.460000000006</v>
      </c>
    </row>
    <row r="26" spans="1:14">
      <c r="A26" s="2" t="s">
        <v>26</v>
      </c>
      <c r="B26" s="3">
        <v>45658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 s="2">
        <v>25</v>
      </c>
      <c r="I26" s="2">
        <v>94.8</v>
      </c>
      <c r="J26" s="2">
        <v>2.99</v>
      </c>
      <c r="K26" s="2">
        <v>0</v>
      </c>
      <c r="L26" s="2">
        <v>3.5</v>
      </c>
      <c r="M26" s="2">
        <v>811771.14</v>
      </c>
      <c r="N26" s="2">
        <v>148756.24</v>
      </c>
    </row>
    <row r="27" spans="1:14">
      <c r="A27" s="2" t="s">
        <v>26</v>
      </c>
      <c r="B27" s="3">
        <v>45689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 s="2">
        <v>22</v>
      </c>
      <c r="I27" s="2">
        <v>86.2</v>
      </c>
      <c r="J27" s="2">
        <v>7.04</v>
      </c>
      <c r="K27" s="2">
        <v>0</v>
      </c>
      <c r="L27" s="2">
        <v>3.9</v>
      </c>
      <c r="M27" s="2">
        <v>800451.94</v>
      </c>
      <c r="N27" s="2">
        <v>111572.29</v>
      </c>
    </row>
    <row r="28" spans="1:14">
      <c r="A28" s="2" t="s">
        <v>26</v>
      </c>
      <c r="B28" s="3">
        <v>45717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 s="2">
        <v>23</v>
      </c>
      <c r="I28" s="2">
        <v>91.9</v>
      </c>
      <c r="J28" s="2">
        <v>4.9400000000000004</v>
      </c>
      <c r="K28" s="2">
        <v>0</v>
      </c>
      <c r="L28" s="2">
        <v>4</v>
      </c>
      <c r="M28" s="2">
        <v>783672.82</v>
      </c>
      <c r="N28" s="2">
        <v>112577.14</v>
      </c>
    </row>
    <row r="29" spans="1:14">
      <c r="A29" s="2" t="s">
        <v>26</v>
      </c>
      <c r="B29" s="3">
        <v>45748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 s="2">
        <v>16</v>
      </c>
      <c r="I29" s="2">
        <v>84.2</v>
      </c>
      <c r="J29" s="2">
        <v>16.149999999999999</v>
      </c>
      <c r="K29" s="2">
        <v>0</v>
      </c>
      <c r="L29" s="2">
        <v>3.7</v>
      </c>
      <c r="M29" s="2">
        <v>701641.97</v>
      </c>
      <c r="N29" s="2">
        <v>106111.86</v>
      </c>
    </row>
    <row r="30" spans="1:14">
      <c r="A30" s="2" t="s">
        <v>29</v>
      </c>
      <c r="B30" s="3">
        <v>45658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 s="2">
        <v>11</v>
      </c>
      <c r="I30" s="2">
        <v>85</v>
      </c>
      <c r="J30" s="2">
        <v>0.48</v>
      </c>
      <c r="K30" s="2">
        <v>0</v>
      </c>
      <c r="L30" s="2">
        <v>3.6</v>
      </c>
      <c r="M30" s="2">
        <v>511844.41</v>
      </c>
      <c r="N30" s="2">
        <v>72774.44</v>
      </c>
    </row>
    <row r="31" spans="1:14">
      <c r="A31" s="2" t="s">
        <v>29</v>
      </c>
      <c r="B31" s="3">
        <v>45689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 s="2">
        <v>9</v>
      </c>
      <c r="I31" s="2">
        <v>87.5</v>
      </c>
      <c r="J31" s="2">
        <v>0.31</v>
      </c>
      <c r="K31" s="2">
        <v>0</v>
      </c>
      <c r="L31" s="2">
        <v>3.1</v>
      </c>
      <c r="M31" s="2">
        <v>537383.79</v>
      </c>
      <c r="N31" s="2">
        <v>63773.27</v>
      </c>
    </row>
    <row r="32" spans="1:14">
      <c r="A32" s="2" t="s">
        <v>29</v>
      </c>
      <c r="B32" s="3">
        <v>45717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 s="2">
        <v>11</v>
      </c>
      <c r="I32" s="2">
        <v>87.6</v>
      </c>
      <c r="J32" s="2">
        <v>3.01</v>
      </c>
      <c r="K32" s="2">
        <v>1</v>
      </c>
      <c r="L32" s="2">
        <v>3.7</v>
      </c>
      <c r="M32" s="2">
        <v>500173.02</v>
      </c>
      <c r="N32" s="2">
        <v>70982.05</v>
      </c>
    </row>
    <row r="33" spans="1:14">
      <c r="A33" s="2" t="s">
        <v>29</v>
      </c>
      <c r="B33" s="3">
        <v>45748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 s="2">
        <v>5</v>
      </c>
      <c r="I33" s="2">
        <v>89.9</v>
      </c>
      <c r="J33" s="2">
        <v>12.15</v>
      </c>
      <c r="K33" s="2">
        <v>0</v>
      </c>
      <c r="L33" s="2">
        <v>3.6</v>
      </c>
      <c r="M33" s="2">
        <v>427917.38</v>
      </c>
      <c r="N33" s="2">
        <v>81824.31</v>
      </c>
    </row>
    <row r="34" spans="1:14">
      <c r="A34" s="2" t="s">
        <v>30</v>
      </c>
      <c r="B34" s="3">
        <v>45658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 s="2">
        <v>21</v>
      </c>
      <c r="I34" s="2">
        <v>83.3</v>
      </c>
      <c r="J34" s="2">
        <v>11.71</v>
      </c>
      <c r="K34" s="2">
        <v>0</v>
      </c>
      <c r="L34" s="2">
        <v>4.2</v>
      </c>
      <c r="M34" s="2">
        <v>641865.03</v>
      </c>
      <c r="N34" s="2">
        <v>81342.58</v>
      </c>
    </row>
    <row r="35" spans="1:14">
      <c r="A35" s="2" t="s">
        <v>30</v>
      </c>
      <c r="B35" s="3">
        <v>45689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 s="2">
        <v>25</v>
      </c>
      <c r="I35" s="2">
        <v>84.7</v>
      </c>
      <c r="J35" s="2">
        <v>0.62</v>
      </c>
      <c r="K35" s="2">
        <v>0</v>
      </c>
      <c r="L35" s="2"/>
      <c r="M35" s="2">
        <v>799477.76000000001</v>
      </c>
      <c r="N35" s="2">
        <v>164974.41</v>
      </c>
    </row>
    <row r="36" spans="1:14">
      <c r="A36" s="2" t="s">
        <v>30</v>
      </c>
      <c r="B36" s="3">
        <v>45717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3.5</v>
      </c>
      <c r="M36" s="2">
        <v>798952.17</v>
      </c>
      <c r="N36" s="2">
        <v>161499.04</v>
      </c>
    </row>
    <row r="37" spans="1:14">
      <c r="A37" s="2" t="s">
        <v>30</v>
      </c>
      <c r="B37" s="3">
        <v>45748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3.6</v>
      </c>
      <c r="M37" s="2">
        <v>800979.78</v>
      </c>
      <c r="N37" s="2">
        <v>149242.26999999999</v>
      </c>
    </row>
    <row r="38" spans="1:14">
      <c r="A38" s="2" t="s">
        <v>31</v>
      </c>
      <c r="B38" s="3">
        <v>45658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4.2</v>
      </c>
      <c r="M38" s="2">
        <v>820593.93</v>
      </c>
      <c r="N38" s="2">
        <v>115860.06</v>
      </c>
    </row>
    <row r="39" spans="1:14">
      <c r="A39" s="2" t="s">
        <v>31</v>
      </c>
      <c r="B39" s="3">
        <v>45689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3.8</v>
      </c>
      <c r="M39" s="2">
        <v>718330.53</v>
      </c>
      <c r="N39" s="2">
        <v>93247.9</v>
      </c>
    </row>
    <row r="40" spans="1:14">
      <c r="A40" s="2" t="s">
        <v>31</v>
      </c>
      <c r="B40" s="3">
        <v>45717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4</v>
      </c>
      <c r="M40" s="2">
        <v>736633.4</v>
      </c>
      <c r="N40" s="2">
        <v>115654.66</v>
      </c>
    </row>
    <row r="41" spans="1:14">
      <c r="A41" s="2" t="s">
        <v>31</v>
      </c>
      <c r="B41" s="3">
        <v>45748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3.8</v>
      </c>
      <c r="M41" s="2">
        <v>828623.85</v>
      </c>
      <c r="N41" s="2">
        <v>167320.51999999999</v>
      </c>
    </row>
    <row r="42" spans="1:14">
      <c r="A42" s="2" t="s">
        <v>32</v>
      </c>
      <c r="B42" s="3">
        <v>45658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4.4000000000000004</v>
      </c>
      <c r="M42" s="2">
        <v>592195.85</v>
      </c>
      <c r="N42" s="2">
        <v>92291.56</v>
      </c>
    </row>
    <row r="43" spans="1:14">
      <c r="A43" s="2" t="s">
        <v>32</v>
      </c>
      <c r="B43" s="3">
        <v>45689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4.4000000000000004</v>
      </c>
      <c r="M43" s="2">
        <v>532644.46</v>
      </c>
      <c r="N43" s="2">
        <v>60681.32</v>
      </c>
    </row>
    <row r="44" spans="1:14">
      <c r="A44" s="2" t="s">
        <v>32</v>
      </c>
      <c r="B44" s="3">
        <v>45717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4</v>
      </c>
      <c r="M44" s="2">
        <v>657429.18000000005</v>
      </c>
      <c r="N44" s="2">
        <v>88919.74</v>
      </c>
    </row>
    <row r="45" spans="1:14">
      <c r="A45" s="2" t="s">
        <v>32</v>
      </c>
      <c r="B45" s="3">
        <v>45748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4.2</v>
      </c>
      <c r="M45" s="2">
        <v>605178</v>
      </c>
      <c r="N45" s="2">
        <v>106958.74</v>
      </c>
    </row>
    <row r="46" spans="1:14">
      <c r="A46" s="2" t="s">
        <v>33</v>
      </c>
      <c r="B46" s="3">
        <v>45658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3.2</v>
      </c>
      <c r="M46" s="2">
        <v>595467.6</v>
      </c>
      <c r="N46" s="2">
        <v>104276.46</v>
      </c>
    </row>
    <row r="47" spans="1:14">
      <c r="A47" s="2" t="s">
        <v>33</v>
      </c>
      <c r="B47" s="3">
        <v>45689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3.5</v>
      </c>
      <c r="M47" s="2">
        <v>599603.4</v>
      </c>
      <c r="N47" s="2">
        <v>112685.12</v>
      </c>
    </row>
    <row r="48" spans="1:14">
      <c r="A48" s="2" t="s">
        <v>33</v>
      </c>
      <c r="B48" s="3">
        <v>45717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3.2</v>
      </c>
      <c r="M48" s="2">
        <v>614800.09</v>
      </c>
      <c r="N48" s="2">
        <v>100044.2</v>
      </c>
    </row>
    <row r="49" spans="1:14">
      <c r="A49" s="2" t="s">
        <v>33</v>
      </c>
      <c r="B49" s="3">
        <v>45748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3.3</v>
      </c>
      <c r="M49" s="2">
        <v>585365.73</v>
      </c>
      <c r="N49" s="2">
        <v>81011.520000000004</v>
      </c>
    </row>
    <row r="50" spans="1:14">
      <c r="A50" s="2" t="s">
        <v>34</v>
      </c>
      <c r="B50" s="3">
        <v>45658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4.7</v>
      </c>
      <c r="M50" s="2">
        <v>622811.74</v>
      </c>
      <c r="N50" s="2">
        <v>109978.35</v>
      </c>
    </row>
    <row r="51" spans="1:14">
      <c r="A51" s="2" t="s">
        <v>34</v>
      </c>
      <c r="B51" s="3">
        <v>45689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4.5999999999999996</v>
      </c>
      <c r="M51" s="2">
        <v>603297.56999999995</v>
      </c>
      <c r="N51" s="2">
        <v>60592.26</v>
      </c>
    </row>
    <row r="52" spans="1:14">
      <c r="A52" s="2" t="s">
        <v>34</v>
      </c>
      <c r="B52" s="3">
        <v>45717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4.5</v>
      </c>
      <c r="M52" s="2">
        <v>625672.86</v>
      </c>
      <c r="N52" s="2">
        <v>118020.12</v>
      </c>
    </row>
    <row r="53" spans="1:14">
      <c r="A53" s="2" t="s">
        <v>34</v>
      </c>
      <c r="B53" s="3">
        <v>45748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4.5999999999999996</v>
      </c>
      <c r="M53" s="2">
        <v>773815.14</v>
      </c>
      <c r="N53" s="2">
        <v>133948.39000000001</v>
      </c>
    </row>
    <row r="54" spans="1:14">
      <c r="A54" s="2" t="s">
        <v>35</v>
      </c>
      <c r="B54" s="3">
        <v>45658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2">
        <v>463534.25</v>
      </c>
      <c r="N54" s="2">
        <v>81834.539999999994</v>
      </c>
    </row>
    <row r="55" spans="1:14">
      <c r="A55" s="2" t="s">
        <v>35</v>
      </c>
      <c r="B55" s="3">
        <v>45689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4.7</v>
      </c>
      <c r="M55" s="2">
        <v>746677.75</v>
      </c>
      <c r="N55" s="2">
        <v>122437.84</v>
      </c>
    </row>
    <row r="56" spans="1:14">
      <c r="A56" s="2" t="s">
        <v>35</v>
      </c>
      <c r="B56" s="3">
        <v>45717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4.3</v>
      </c>
      <c r="M56" s="2">
        <v>720852.5</v>
      </c>
      <c r="N56" s="2">
        <v>98565.62</v>
      </c>
    </row>
    <row r="57" spans="1:14">
      <c r="A57" s="2" t="s">
        <v>35</v>
      </c>
      <c r="B57" s="3">
        <v>45748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4.0999999999999996</v>
      </c>
      <c r="M57" s="2">
        <v>487464.91</v>
      </c>
      <c r="N57" s="2">
        <v>64562.26</v>
      </c>
    </row>
    <row r="58" spans="1:14">
      <c r="A58" s="2" t="s">
        <v>36</v>
      </c>
      <c r="B58" s="3">
        <v>45658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3.5</v>
      </c>
      <c r="M58" s="2">
        <v>518049.26</v>
      </c>
      <c r="N58" s="2">
        <v>108592.49</v>
      </c>
    </row>
    <row r="59" spans="1:14">
      <c r="A59" s="2" t="s">
        <v>36</v>
      </c>
      <c r="B59" s="3">
        <v>45689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3.7</v>
      </c>
      <c r="M59" s="2">
        <v>500298.48</v>
      </c>
      <c r="N59" s="2">
        <v>73461.320000000007</v>
      </c>
    </row>
    <row r="60" spans="1:14">
      <c r="A60" s="2" t="s">
        <v>36</v>
      </c>
      <c r="B60" s="3">
        <v>45717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3.1</v>
      </c>
      <c r="M60" s="2">
        <v>617291.15</v>
      </c>
      <c r="N60" s="2">
        <v>117782</v>
      </c>
    </row>
    <row r="61" spans="1:14">
      <c r="A61" s="2" t="s">
        <v>36</v>
      </c>
      <c r="B61" s="3">
        <v>45748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3.1</v>
      </c>
      <c r="M61" s="2">
        <v>553756.43000000005</v>
      </c>
      <c r="N61" s="2">
        <v>86166.77</v>
      </c>
    </row>
    <row r="62" spans="1:14">
      <c r="A62" s="2" t="s">
        <v>37</v>
      </c>
      <c r="B62" s="3">
        <v>45658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3.7</v>
      </c>
      <c r="M62" s="2">
        <v>749559.71</v>
      </c>
      <c r="N62" s="2">
        <v>144522.53</v>
      </c>
    </row>
    <row r="63" spans="1:14">
      <c r="A63" s="2" t="s">
        <v>37</v>
      </c>
      <c r="B63" s="3">
        <v>45689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3.8</v>
      </c>
      <c r="M63" s="2">
        <v>615966.48</v>
      </c>
      <c r="N63" s="2">
        <v>91509.38</v>
      </c>
    </row>
    <row r="64" spans="1:14">
      <c r="A64" s="2" t="s">
        <v>37</v>
      </c>
      <c r="B64" s="3">
        <v>45717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3.3</v>
      </c>
      <c r="M64" s="2">
        <v>572011.19999999995</v>
      </c>
      <c r="N64" s="2">
        <v>101409.68</v>
      </c>
    </row>
    <row r="65" spans="1:14">
      <c r="A65" s="2" t="s">
        <v>37</v>
      </c>
      <c r="B65" s="3">
        <v>45748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3.5</v>
      </c>
      <c r="M65" s="2">
        <v>761860.19</v>
      </c>
      <c r="N65" s="2">
        <v>133279.38</v>
      </c>
    </row>
    <row r="66" spans="1:14">
      <c r="A66" s="2" t="s">
        <v>38</v>
      </c>
      <c r="B66" s="3">
        <v>45658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3.4</v>
      </c>
      <c r="M66" s="2">
        <v>784502.68</v>
      </c>
      <c r="N66" s="2">
        <v>129519.72</v>
      </c>
    </row>
    <row r="67" spans="1:14">
      <c r="A67" s="2" t="s">
        <v>38</v>
      </c>
      <c r="B67" s="3">
        <v>45689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3.6</v>
      </c>
      <c r="M67" s="2">
        <v>717141.55</v>
      </c>
      <c r="N67" s="2">
        <v>134013.60999999999</v>
      </c>
    </row>
    <row r="68" spans="1:14">
      <c r="A68" s="2" t="s">
        <v>38</v>
      </c>
      <c r="B68" s="3">
        <v>45717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3.2</v>
      </c>
      <c r="M68" s="2">
        <v>685379.08</v>
      </c>
      <c r="N68" s="2">
        <v>106898.82</v>
      </c>
    </row>
    <row r="69" spans="1:14">
      <c r="A69" s="2" t="s">
        <v>38</v>
      </c>
      <c r="B69" s="3">
        <v>45748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3.4</v>
      </c>
      <c r="M69" s="2">
        <v>740496.65</v>
      </c>
      <c r="N69" s="2">
        <v>128020.9</v>
      </c>
    </row>
    <row r="70" spans="1:14">
      <c r="A70" s="2" t="s">
        <v>39</v>
      </c>
      <c r="B70" s="3">
        <v>45658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3.3</v>
      </c>
      <c r="M70" s="2">
        <v>661927.14</v>
      </c>
      <c r="N70" s="2">
        <v>79218.570000000007</v>
      </c>
    </row>
    <row r="71" spans="1:14">
      <c r="A71" s="2" t="s">
        <v>39</v>
      </c>
      <c r="B71" s="3">
        <v>45689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3.3</v>
      </c>
      <c r="M71" s="2">
        <v>479050.5</v>
      </c>
      <c r="N71" s="2">
        <v>53651.11</v>
      </c>
    </row>
    <row r="72" spans="1:14">
      <c r="A72" s="2" t="s">
        <v>39</v>
      </c>
      <c r="B72" s="3">
        <v>45717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3.2</v>
      </c>
      <c r="M72" s="2">
        <v>605023.87</v>
      </c>
      <c r="N72" s="2">
        <v>98545.81</v>
      </c>
    </row>
    <row r="73" spans="1:14">
      <c r="A73" s="2" t="s">
        <v>39</v>
      </c>
      <c r="B73" s="3">
        <v>45748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 s="2">
        <v>12</v>
      </c>
      <c r="I73" s="2">
        <v>88</v>
      </c>
      <c r="J73" s="2"/>
      <c r="K73" s="2">
        <v>0</v>
      </c>
      <c r="L73" s="2">
        <v>3.5</v>
      </c>
      <c r="M73" s="2">
        <v>674774.09</v>
      </c>
      <c r="N73" s="2">
        <v>141917.59</v>
      </c>
    </row>
    <row r="74" spans="1:14">
      <c r="A74" s="2" t="s">
        <v>40</v>
      </c>
      <c r="B74" s="3">
        <v>45658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 s="2">
        <v>13</v>
      </c>
      <c r="I74" s="2">
        <v>78.8</v>
      </c>
      <c r="J74" s="2">
        <v>4.91</v>
      </c>
      <c r="K74" s="2">
        <v>0</v>
      </c>
      <c r="L74" s="2">
        <v>4.5</v>
      </c>
      <c r="M74" s="2">
        <v>616069.41</v>
      </c>
      <c r="N74" s="2">
        <v>54453.99</v>
      </c>
    </row>
    <row r="75" spans="1:14">
      <c r="A75" s="2" t="s">
        <v>40</v>
      </c>
      <c r="B75" s="3">
        <v>45689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 s="2">
        <v>19</v>
      </c>
      <c r="I75" s="2">
        <v>94.6</v>
      </c>
      <c r="J75" s="2">
        <v>7.03</v>
      </c>
      <c r="K75" s="2">
        <v>0</v>
      </c>
      <c r="L75" s="2">
        <v>4.4000000000000004</v>
      </c>
      <c r="M75" s="2">
        <v>630829.93999999994</v>
      </c>
      <c r="N75" s="2">
        <v>117090.02</v>
      </c>
    </row>
    <row r="76" spans="1:14">
      <c r="A76" s="2" t="s">
        <v>40</v>
      </c>
      <c r="B76" s="3">
        <v>45717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 s="2">
        <v>20</v>
      </c>
      <c r="I76" s="2">
        <v>93.1</v>
      </c>
      <c r="J76" s="2">
        <v>0.28000000000000003</v>
      </c>
      <c r="K76" s="2">
        <v>1</v>
      </c>
      <c r="L76" s="2">
        <v>4.3</v>
      </c>
      <c r="M76" s="2">
        <v>788087.68</v>
      </c>
      <c r="N76" s="2">
        <v>116803.42</v>
      </c>
    </row>
    <row r="77" spans="1:14">
      <c r="A77" s="2" t="s">
        <v>40</v>
      </c>
      <c r="B77" s="3">
        <v>45748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 s="2">
        <v>20</v>
      </c>
      <c r="I77" s="2">
        <v>85.2</v>
      </c>
      <c r="J77" s="2">
        <v>3.61</v>
      </c>
      <c r="K77" s="2">
        <v>0</v>
      </c>
      <c r="L77" s="2">
        <v>4.5</v>
      </c>
      <c r="M77" s="2">
        <v>680840.36</v>
      </c>
      <c r="N77" s="2">
        <v>68007.679999999993</v>
      </c>
    </row>
    <row r="78" spans="1:14">
      <c r="A78" s="2" t="s">
        <v>41</v>
      </c>
      <c r="B78" s="3">
        <v>45658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 s="2">
        <v>15</v>
      </c>
      <c r="I78" s="2">
        <v>77.7</v>
      </c>
      <c r="J78" s="2">
        <v>7.52</v>
      </c>
      <c r="K78" s="2">
        <v>1</v>
      </c>
      <c r="L78" s="2">
        <v>3.2</v>
      </c>
      <c r="M78" s="2">
        <v>643657.47</v>
      </c>
      <c r="N78" s="2">
        <v>87022.45</v>
      </c>
    </row>
    <row r="79" spans="1:14">
      <c r="A79" s="2" t="s">
        <v>41</v>
      </c>
      <c r="B79" s="3">
        <v>45689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 s="2">
        <v>12</v>
      </c>
      <c r="I79" s="2">
        <v>85.4</v>
      </c>
      <c r="J79" s="2">
        <v>2.58</v>
      </c>
      <c r="K79" s="2">
        <v>0</v>
      </c>
      <c r="L79" s="2">
        <v>2.9</v>
      </c>
      <c r="M79" s="2">
        <v>691112.6</v>
      </c>
      <c r="N79" s="2">
        <v>109212.83</v>
      </c>
    </row>
    <row r="80" spans="1:14">
      <c r="A80" s="2" t="s">
        <v>41</v>
      </c>
      <c r="B80" s="3">
        <v>45717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 s="2">
        <v>16</v>
      </c>
      <c r="I80" s="2">
        <v>83.5</v>
      </c>
      <c r="J80" s="2">
        <v>2.29</v>
      </c>
      <c r="K80" s="2">
        <v>0</v>
      </c>
      <c r="L80" s="2">
        <v>3.3</v>
      </c>
      <c r="M80" s="2">
        <v>776922.17</v>
      </c>
      <c r="N80" s="2">
        <v>150701.93</v>
      </c>
    </row>
    <row r="81" spans="1:14">
      <c r="A81" s="2" t="s">
        <v>41</v>
      </c>
      <c r="B81" s="3">
        <v>45748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 s="2">
        <v>14</v>
      </c>
      <c r="I81" s="2">
        <v>81.3</v>
      </c>
      <c r="J81" s="2">
        <v>2.39</v>
      </c>
      <c r="K81" s="2">
        <v>0</v>
      </c>
      <c r="L81" s="2">
        <v>3.2</v>
      </c>
      <c r="M81" s="2">
        <v>636561.34</v>
      </c>
      <c r="N81" s="2">
        <v>93861.06</v>
      </c>
    </row>
    <row r="82" spans="1:14">
      <c r="A82" s="2" t="s">
        <v>42</v>
      </c>
      <c r="B82" s="3">
        <v>45658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 s="2">
        <v>15</v>
      </c>
      <c r="I82" s="2">
        <v>83.9</v>
      </c>
      <c r="J82" s="2">
        <v>5.24</v>
      </c>
      <c r="K82" s="2">
        <v>0</v>
      </c>
      <c r="L82" s="2">
        <v>4.5999999999999996</v>
      </c>
      <c r="M82" s="2">
        <v>621369.57999999996</v>
      </c>
      <c r="N82" s="2">
        <v>85493.64</v>
      </c>
    </row>
    <row r="83" spans="1:14">
      <c r="A83" s="2" t="s">
        <v>42</v>
      </c>
      <c r="B83" s="3">
        <v>45689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 s="2">
        <v>10</v>
      </c>
      <c r="I83" s="2">
        <v>89.6</v>
      </c>
      <c r="J83" s="2">
        <v>3.17</v>
      </c>
      <c r="K83" s="2">
        <v>0</v>
      </c>
      <c r="L83" s="2">
        <v>4.5999999999999996</v>
      </c>
      <c r="M83" s="2">
        <v>682208.01</v>
      </c>
      <c r="N83" s="2">
        <v>110318.84</v>
      </c>
    </row>
    <row r="84" spans="1:14">
      <c r="A84" s="2" t="s">
        <v>42</v>
      </c>
      <c r="B84" s="3">
        <v>45717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 s="2">
        <v>15</v>
      </c>
      <c r="I84" s="2">
        <v>87.1</v>
      </c>
      <c r="J84" s="2">
        <v>2.66</v>
      </c>
      <c r="K84" s="2">
        <v>0</v>
      </c>
      <c r="L84" s="2">
        <v>4.5999999999999996</v>
      </c>
      <c r="M84" s="2">
        <v>727241.86</v>
      </c>
      <c r="N84" s="2">
        <v>155810.29999999999</v>
      </c>
    </row>
    <row r="85" spans="1:14">
      <c r="A85" s="2" t="s">
        <v>42</v>
      </c>
      <c r="B85" s="3">
        <v>45748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 s="2">
        <v>8</v>
      </c>
      <c r="I85" s="2">
        <v>83.6</v>
      </c>
      <c r="J85" s="2">
        <v>1.41</v>
      </c>
      <c r="K85" s="2">
        <v>0</v>
      </c>
      <c r="L85" s="2">
        <v>4.2</v>
      </c>
      <c r="M85" s="2">
        <v>569100.78</v>
      </c>
      <c r="N85" s="2">
        <v>104808.78</v>
      </c>
    </row>
    <row r="86" spans="1:14">
      <c r="A86" s="2" t="s">
        <v>43</v>
      </c>
      <c r="B86" s="3">
        <v>45658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 s="2">
        <v>7</v>
      </c>
      <c r="I86" s="2">
        <v>85.4</v>
      </c>
      <c r="J86" s="2">
        <v>7.34</v>
      </c>
      <c r="K86" s="2">
        <v>0</v>
      </c>
      <c r="L86" s="2">
        <v>4.9000000000000004</v>
      </c>
      <c r="M86" s="2">
        <v>574436.29</v>
      </c>
      <c r="N86" s="2">
        <v>80271.990000000005</v>
      </c>
    </row>
    <row r="87" spans="1:14">
      <c r="A87" s="2" t="s">
        <v>43</v>
      </c>
      <c r="B87" s="3">
        <v>45689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 s="2">
        <v>11</v>
      </c>
      <c r="I87" s="2">
        <v>91.9</v>
      </c>
      <c r="J87" s="2">
        <v>5.95</v>
      </c>
      <c r="K87" s="2">
        <v>0</v>
      </c>
      <c r="L87" s="2"/>
      <c r="M87" s="2">
        <v>611766.72</v>
      </c>
      <c r="N87" s="2">
        <v>88275.61</v>
      </c>
    </row>
    <row r="88" spans="1:14">
      <c r="A88" s="2" t="s">
        <v>43</v>
      </c>
      <c r="B88" s="3">
        <v>45717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 s="2">
        <v>11</v>
      </c>
      <c r="I88" s="2">
        <v>88.5</v>
      </c>
      <c r="J88" s="2">
        <v>15.51</v>
      </c>
      <c r="K88" s="2">
        <v>0</v>
      </c>
      <c r="L88" s="2">
        <v>4.3</v>
      </c>
      <c r="M88" s="2">
        <v>614596.31999999995</v>
      </c>
      <c r="N88" s="2">
        <v>131199.41</v>
      </c>
    </row>
    <row r="89" spans="1:14">
      <c r="A89" s="2" t="s">
        <v>43</v>
      </c>
      <c r="B89" s="3">
        <v>45748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 s="2">
        <v>9</v>
      </c>
      <c r="I89" s="2">
        <v>86.4</v>
      </c>
      <c r="J89" s="2">
        <v>4.3099999999999996</v>
      </c>
      <c r="K89" s="2">
        <v>0</v>
      </c>
      <c r="L89" s="2">
        <v>4.5999999999999996</v>
      </c>
      <c r="M89" s="2">
        <v>450711.92</v>
      </c>
      <c r="N89" s="2">
        <v>90043.76</v>
      </c>
    </row>
    <row r="90" spans="1:14">
      <c r="A90" s="2" t="s">
        <v>44</v>
      </c>
      <c r="B90" s="3">
        <v>45658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 s="2">
        <v>18</v>
      </c>
      <c r="I90" s="2">
        <v>79.2</v>
      </c>
      <c r="J90" s="2">
        <v>6.61</v>
      </c>
      <c r="K90" s="2">
        <v>1</v>
      </c>
      <c r="L90" s="2">
        <v>4.0999999999999996</v>
      </c>
      <c r="M90" s="2">
        <v>711213.46</v>
      </c>
      <c r="N90" s="2">
        <v>105863.26</v>
      </c>
    </row>
    <row r="91" spans="1:14">
      <c r="A91" s="2" t="s">
        <v>44</v>
      </c>
      <c r="B91" s="3">
        <v>45689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 s="2">
        <v>12</v>
      </c>
      <c r="I91" s="2">
        <v>87</v>
      </c>
      <c r="J91" s="2">
        <v>4.26</v>
      </c>
      <c r="K91" s="2">
        <v>0</v>
      </c>
      <c r="L91" s="2">
        <v>4.5</v>
      </c>
      <c r="M91" s="2">
        <v>627171.9</v>
      </c>
      <c r="N91" s="2">
        <v>105772.75</v>
      </c>
    </row>
    <row r="92" spans="1:14">
      <c r="A92" s="2" t="s">
        <v>44</v>
      </c>
      <c r="B92" s="3">
        <v>45717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 s="2">
        <v>17</v>
      </c>
      <c r="I92" s="2">
        <v>91.8</v>
      </c>
      <c r="J92" s="2">
        <v>5.75</v>
      </c>
      <c r="K92" s="2">
        <v>0</v>
      </c>
      <c r="L92" s="2">
        <v>4.7</v>
      </c>
      <c r="M92" s="2">
        <v>739852.58</v>
      </c>
      <c r="N92" s="2">
        <v>129386.43</v>
      </c>
    </row>
    <row r="93" spans="1:14">
      <c r="A93" s="2" t="s">
        <v>44</v>
      </c>
      <c r="B93" s="3">
        <v>45748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 s="2">
        <v>11</v>
      </c>
      <c r="I93" s="2">
        <v>84.7</v>
      </c>
      <c r="J93" s="2">
        <v>0.33</v>
      </c>
      <c r="K93" s="2">
        <v>0</v>
      </c>
      <c r="L93" s="2">
        <v>4.3</v>
      </c>
      <c r="M93" s="2">
        <v>586307.22</v>
      </c>
      <c r="N93" s="2">
        <v>73927.850000000006</v>
      </c>
    </row>
    <row r="94" spans="1:14">
      <c r="A94" s="2" t="s">
        <v>45</v>
      </c>
      <c r="B94" s="3">
        <v>45658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 s="2">
        <v>14</v>
      </c>
      <c r="I94" s="2">
        <v>91.1</v>
      </c>
      <c r="J94" s="2">
        <v>2.92</v>
      </c>
      <c r="K94" s="2">
        <v>0</v>
      </c>
      <c r="L94" s="2">
        <v>4.5999999999999996</v>
      </c>
      <c r="M94" s="2">
        <v>585937.48</v>
      </c>
      <c r="N94" s="2">
        <v>82624.2</v>
      </c>
    </row>
    <row r="95" spans="1:14">
      <c r="A95" s="2" t="s">
        <v>45</v>
      </c>
      <c r="B95" s="3">
        <v>45689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 s="2">
        <v>16</v>
      </c>
      <c r="I95" s="2">
        <v>90.9</v>
      </c>
      <c r="J95" s="2">
        <v>1.64</v>
      </c>
      <c r="K95" s="2">
        <v>0</v>
      </c>
      <c r="L95" s="2">
        <v>4.5</v>
      </c>
      <c r="M95" s="2">
        <v>753473.55</v>
      </c>
      <c r="N95" s="2">
        <v>151527.22</v>
      </c>
    </row>
    <row r="96" spans="1:14">
      <c r="A96" s="2" t="s">
        <v>45</v>
      </c>
      <c r="B96" s="3">
        <v>45717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 s="2">
        <v>17</v>
      </c>
      <c r="I96" s="2">
        <v>91.3</v>
      </c>
      <c r="J96" s="2">
        <v>0.8</v>
      </c>
      <c r="K96" s="2">
        <v>0</v>
      </c>
      <c r="L96" s="2">
        <v>5</v>
      </c>
      <c r="M96" s="2">
        <v>838250.32</v>
      </c>
      <c r="N96" s="2">
        <v>122939.34</v>
      </c>
    </row>
    <row r="97" spans="1:14">
      <c r="A97" s="2" t="s">
        <v>45</v>
      </c>
      <c r="B97" s="3">
        <v>45748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 s="2">
        <v>15</v>
      </c>
      <c r="I97" s="2">
        <v>94.1</v>
      </c>
      <c r="J97" s="2">
        <v>5.79</v>
      </c>
      <c r="K97" s="2">
        <v>0</v>
      </c>
      <c r="L97" s="2">
        <v>4.5</v>
      </c>
      <c r="M97" s="2">
        <v>607898.12</v>
      </c>
      <c r="N97" s="2">
        <v>135404.85</v>
      </c>
    </row>
    <row r="98" spans="1:14">
      <c r="A98" s="2" t="s">
        <v>46</v>
      </c>
      <c r="B98" s="3">
        <v>45658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 s="2">
        <v>19</v>
      </c>
      <c r="I98" s="2">
        <v>91</v>
      </c>
      <c r="J98" s="2">
        <v>19.600000000000001</v>
      </c>
      <c r="K98" s="2">
        <v>0</v>
      </c>
      <c r="L98" s="2">
        <v>4.4000000000000004</v>
      </c>
      <c r="M98" s="2">
        <v>691113.62</v>
      </c>
      <c r="N98" s="2">
        <v>135145.44</v>
      </c>
    </row>
    <row r="99" spans="1:14">
      <c r="A99" s="2" t="s">
        <v>46</v>
      </c>
      <c r="B99" s="3">
        <v>45689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 s="2">
        <v>13</v>
      </c>
      <c r="I99" s="2">
        <v>85.8</v>
      </c>
      <c r="J99" s="2">
        <v>7.57</v>
      </c>
      <c r="K99" s="2">
        <v>0</v>
      </c>
      <c r="L99" s="2">
        <v>4.3</v>
      </c>
      <c r="M99" s="2">
        <v>735509.4</v>
      </c>
      <c r="N99" s="2">
        <v>83895.96</v>
      </c>
    </row>
    <row r="100" spans="1:14">
      <c r="A100" s="2" t="s">
        <v>46</v>
      </c>
      <c r="B100" s="3">
        <v>45717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 s="2">
        <v>15</v>
      </c>
      <c r="I100" s="2">
        <v>89.7</v>
      </c>
      <c r="J100" s="2"/>
      <c r="K100" s="2">
        <v>0</v>
      </c>
      <c r="L100" s="2">
        <v>4.3</v>
      </c>
      <c r="M100" s="2">
        <v>605775.32999999996</v>
      </c>
      <c r="N100" s="2">
        <v>107194.6</v>
      </c>
    </row>
    <row r="101" spans="1:14">
      <c r="A101" s="2" t="s">
        <v>46</v>
      </c>
      <c r="B101" s="3">
        <v>45748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 s="2">
        <v>11</v>
      </c>
      <c r="I101" s="2">
        <v>91</v>
      </c>
      <c r="J101" s="2">
        <v>2.7</v>
      </c>
      <c r="K101" s="2">
        <v>0</v>
      </c>
      <c r="L101" s="2">
        <v>4.4000000000000004</v>
      </c>
      <c r="M101" s="2">
        <v>675177.68</v>
      </c>
      <c r="N101" s="2">
        <v>105628.68</v>
      </c>
    </row>
    <row r="102" spans="1:14">
      <c r="A102" s="2" t="s">
        <v>47</v>
      </c>
      <c r="B102" s="3">
        <v>45658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 s="2">
        <v>12</v>
      </c>
      <c r="I102" s="2">
        <v>91.4</v>
      </c>
      <c r="J102" s="2">
        <v>0.2</v>
      </c>
      <c r="K102" s="2">
        <v>0</v>
      </c>
      <c r="L102" s="2">
        <v>4.4000000000000004</v>
      </c>
      <c r="M102" s="2">
        <v>635181.35</v>
      </c>
      <c r="N102" s="2">
        <v>83341.25</v>
      </c>
    </row>
    <row r="103" spans="1:14">
      <c r="A103" s="2" t="s">
        <v>47</v>
      </c>
      <c r="B103" s="3">
        <v>45689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 s="2">
        <v>14</v>
      </c>
      <c r="I103" s="2">
        <v>90.4</v>
      </c>
      <c r="J103" s="2">
        <v>7.87</v>
      </c>
      <c r="K103" s="2">
        <v>0</v>
      </c>
      <c r="L103" s="2">
        <v>4.7</v>
      </c>
      <c r="M103" s="2">
        <v>586626.93999999994</v>
      </c>
      <c r="N103" s="2">
        <v>86498.55</v>
      </c>
    </row>
    <row r="104" spans="1:14">
      <c r="A104" s="2" t="s">
        <v>47</v>
      </c>
      <c r="B104" s="3">
        <v>45717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 s="2">
        <v>14</v>
      </c>
      <c r="I104" s="2">
        <v>80.5</v>
      </c>
      <c r="J104" s="2">
        <v>0.77</v>
      </c>
      <c r="K104" s="2">
        <v>1</v>
      </c>
      <c r="L104" s="2">
        <v>4.4000000000000004</v>
      </c>
      <c r="M104" s="2">
        <v>740102.64</v>
      </c>
      <c r="N104" s="2">
        <v>114299.07</v>
      </c>
    </row>
    <row r="105" spans="1:14">
      <c r="A105" s="2" t="s">
        <v>47</v>
      </c>
      <c r="B105" s="3">
        <v>45748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 s="2">
        <v>7</v>
      </c>
      <c r="I105" s="2">
        <v>92.1</v>
      </c>
      <c r="J105" s="2">
        <v>1.48</v>
      </c>
      <c r="K105" s="2">
        <v>0</v>
      </c>
      <c r="L105" s="2">
        <v>5</v>
      </c>
      <c r="M105" s="2">
        <v>625514.04</v>
      </c>
      <c r="N105" s="2">
        <v>120685.08</v>
      </c>
    </row>
    <row r="106" spans="1:14">
      <c r="A106" s="2" t="s">
        <v>48</v>
      </c>
      <c r="B106" s="3">
        <v>45658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 s="2">
        <v>21</v>
      </c>
      <c r="I106" s="2">
        <v>82.3</v>
      </c>
      <c r="J106" s="2">
        <v>2.87</v>
      </c>
      <c r="K106" s="2">
        <v>0</v>
      </c>
      <c r="L106" s="2">
        <v>2.9</v>
      </c>
      <c r="M106" s="2">
        <v>727227.2</v>
      </c>
      <c r="N106" s="2">
        <v>121292.01</v>
      </c>
    </row>
    <row r="107" spans="1:14">
      <c r="A107" s="2" t="s">
        <v>48</v>
      </c>
      <c r="B107" s="3">
        <v>45689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 s="2">
        <v>21</v>
      </c>
      <c r="I107" s="2">
        <v>91.8</v>
      </c>
      <c r="J107" s="2">
        <v>2.83</v>
      </c>
      <c r="K107" s="2">
        <v>0</v>
      </c>
      <c r="L107" s="2">
        <v>3</v>
      </c>
      <c r="M107" s="2">
        <v>783797.89</v>
      </c>
      <c r="N107" s="2">
        <v>157620.70000000001</v>
      </c>
    </row>
    <row r="108" spans="1:14">
      <c r="A108" s="2" t="s">
        <v>48</v>
      </c>
      <c r="B108" s="3">
        <v>45717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 s="2">
        <v>14</v>
      </c>
      <c r="I108" s="2">
        <v>94.1</v>
      </c>
      <c r="J108" s="2">
        <v>0.25</v>
      </c>
      <c r="K108" s="2">
        <v>0</v>
      </c>
      <c r="L108" s="2">
        <v>3</v>
      </c>
      <c r="M108" s="2">
        <v>795153.84</v>
      </c>
      <c r="N108" s="2">
        <v>143194.21</v>
      </c>
    </row>
    <row r="109" spans="1:14">
      <c r="A109" s="2" t="s">
        <v>48</v>
      </c>
      <c r="B109" s="3">
        <v>45748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 s="2">
        <v>15</v>
      </c>
      <c r="I109" s="2">
        <v>87</v>
      </c>
      <c r="J109" s="2">
        <v>13.33</v>
      </c>
      <c r="K109" s="2">
        <v>0</v>
      </c>
      <c r="L109" s="2">
        <v>3.2</v>
      </c>
      <c r="M109" s="2">
        <v>665594.93999999994</v>
      </c>
      <c r="N109" s="2">
        <v>127597.34</v>
      </c>
    </row>
    <row r="110" spans="1:14">
      <c r="A110" s="2" t="s">
        <v>49</v>
      </c>
      <c r="B110" s="3">
        <v>45658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 s="2">
        <v>20</v>
      </c>
      <c r="I110" s="2">
        <v>73.8</v>
      </c>
      <c r="J110" s="2">
        <v>6.35</v>
      </c>
      <c r="K110" s="2">
        <v>1</v>
      </c>
      <c r="L110" s="2">
        <v>3.8</v>
      </c>
      <c r="M110" s="2">
        <v>709478.39</v>
      </c>
      <c r="N110" s="2">
        <v>71294.27</v>
      </c>
    </row>
    <row r="111" spans="1:14">
      <c r="A111" s="2" t="s">
        <v>49</v>
      </c>
      <c r="B111" s="3">
        <v>45689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 s="2">
        <v>13</v>
      </c>
      <c r="I111" s="2">
        <v>86.5</v>
      </c>
      <c r="J111" s="2">
        <v>6.69</v>
      </c>
      <c r="K111" s="2">
        <v>0</v>
      </c>
      <c r="L111" s="2">
        <v>3.8</v>
      </c>
      <c r="M111" s="2">
        <v>664162.49</v>
      </c>
      <c r="N111" s="2">
        <v>98291.06</v>
      </c>
    </row>
    <row r="112" spans="1:14">
      <c r="A112" s="2" t="s">
        <v>49</v>
      </c>
      <c r="B112" s="3">
        <v>45717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 s="2">
        <v>13</v>
      </c>
      <c r="I112" s="2">
        <v>89.9</v>
      </c>
      <c r="J112" s="2">
        <v>1.28</v>
      </c>
      <c r="K112" s="2">
        <v>0</v>
      </c>
      <c r="L112" s="2">
        <v>4.2</v>
      </c>
      <c r="M112" s="2">
        <v>633494.21</v>
      </c>
      <c r="N112" s="2">
        <v>105739.47</v>
      </c>
    </row>
    <row r="113" spans="1:14">
      <c r="A113" s="2" t="s">
        <v>49</v>
      </c>
      <c r="B113" s="3">
        <v>45748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 s="2">
        <v>12</v>
      </c>
      <c r="I113" s="2">
        <v>91.7</v>
      </c>
      <c r="J113" s="2">
        <v>0.92</v>
      </c>
      <c r="K113" s="2">
        <v>0</v>
      </c>
      <c r="L113" s="2">
        <v>3.5</v>
      </c>
      <c r="M113" s="2">
        <v>713611.16</v>
      </c>
      <c r="N113" s="2">
        <v>129717.18</v>
      </c>
    </row>
    <row r="114" spans="1:14">
      <c r="A114" s="2" t="s">
        <v>50</v>
      </c>
      <c r="B114" s="3">
        <v>45658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 s="2">
        <v>22</v>
      </c>
      <c r="I114" s="2">
        <v>76.400000000000006</v>
      </c>
      <c r="J114" s="2">
        <v>1.05</v>
      </c>
      <c r="K114" s="2">
        <v>0</v>
      </c>
      <c r="L114" s="2">
        <v>3.1</v>
      </c>
      <c r="M114" s="2">
        <v>778397.97</v>
      </c>
      <c r="N114" s="2">
        <v>120044.41</v>
      </c>
    </row>
    <row r="115" spans="1:14">
      <c r="A115" s="2" t="s">
        <v>50</v>
      </c>
      <c r="B115" s="3">
        <v>45689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 s="2">
        <v>22</v>
      </c>
      <c r="I115" s="2">
        <v>94.3</v>
      </c>
      <c r="J115" s="2">
        <v>2.67</v>
      </c>
      <c r="K115" s="2">
        <v>0</v>
      </c>
      <c r="L115" s="2">
        <v>3.5</v>
      </c>
      <c r="M115" s="2">
        <v>873380.02</v>
      </c>
      <c r="N115" s="2">
        <v>149734.76</v>
      </c>
    </row>
    <row r="116" spans="1:14">
      <c r="A116" s="2" t="s">
        <v>50</v>
      </c>
      <c r="B116" s="3">
        <v>45717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 s="2">
        <v>23</v>
      </c>
      <c r="I116" s="2">
        <v>88.4</v>
      </c>
      <c r="J116" s="2">
        <v>5.91</v>
      </c>
      <c r="K116" s="2">
        <v>0</v>
      </c>
      <c r="L116" s="2">
        <v>2.8</v>
      </c>
      <c r="M116" s="2">
        <v>697287.9</v>
      </c>
      <c r="N116" s="2">
        <v>128208.33</v>
      </c>
    </row>
    <row r="117" spans="1:14">
      <c r="A117" s="2" t="s">
        <v>50</v>
      </c>
      <c r="B117" s="3">
        <v>45748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 s="2">
        <v>23</v>
      </c>
      <c r="I117" s="2">
        <v>92.5</v>
      </c>
      <c r="J117" s="2">
        <v>6.37</v>
      </c>
      <c r="K117" s="2">
        <v>0</v>
      </c>
      <c r="L117" s="2">
        <v>3.3</v>
      </c>
      <c r="M117" s="2">
        <v>718074.79</v>
      </c>
      <c r="N117" s="2">
        <v>115819.87</v>
      </c>
    </row>
    <row r="118" spans="1:14">
      <c r="A118" s="2" t="s">
        <v>51</v>
      </c>
      <c r="B118" s="3">
        <v>45658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 s="2">
        <v>17</v>
      </c>
      <c r="I118" s="2">
        <v>91</v>
      </c>
      <c r="J118" s="2">
        <v>2.4900000000000002</v>
      </c>
      <c r="K118" s="2">
        <v>1</v>
      </c>
      <c r="L118" s="2">
        <v>4.7</v>
      </c>
      <c r="M118" s="2">
        <v>714942.43</v>
      </c>
      <c r="N118" s="2">
        <v>94697.71</v>
      </c>
    </row>
    <row r="119" spans="1:14">
      <c r="A119" s="2" t="s">
        <v>51</v>
      </c>
      <c r="B119" s="3">
        <v>45689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 s="2">
        <v>19</v>
      </c>
      <c r="I119" s="2">
        <v>84.1</v>
      </c>
      <c r="J119" s="2">
        <v>1.56</v>
      </c>
      <c r="K119" s="2">
        <v>0</v>
      </c>
      <c r="L119" s="2">
        <v>4.7</v>
      </c>
      <c r="M119" s="2">
        <v>820519.04</v>
      </c>
      <c r="N119" s="2">
        <v>99035.88</v>
      </c>
    </row>
    <row r="120" spans="1:14">
      <c r="A120" s="2" t="s">
        <v>51</v>
      </c>
      <c r="B120" s="3">
        <v>45717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 s="2">
        <v>18</v>
      </c>
      <c r="I120" s="2">
        <v>96.8</v>
      </c>
      <c r="J120" s="2">
        <v>14.95</v>
      </c>
      <c r="K120" s="2">
        <v>0</v>
      </c>
      <c r="L120" s="2">
        <v>4.5999999999999996</v>
      </c>
      <c r="M120" s="2">
        <v>684217.32</v>
      </c>
      <c r="N120" s="2">
        <v>136217.19</v>
      </c>
    </row>
    <row r="121" spans="1:14">
      <c r="A121" s="2" t="s">
        <v>51</v>
      </c>
      <c r="B121" s="3">
        <v>45748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 s="2">
        <v>19</v>
      </c>
      <c r="I121" s="2">
        <v>95.7</v>
      </c>
      <c r="J121" s="2">
        <v>7.85</v>
      </c>
      <c r="K121" s="2">
        <v>0</v>
      </c>
      <c r="L121" s="2">
        <v>4.7</v>
      </c>
      <c r="M121" s="2">
        <v>735480.19</v>
      </c>
      <c r="N121" s="2">
        <v>88342.11</v>
      </c>
    </row>
    <row r="122" spans="1:14">
      <c r="A122" s="2" t="s">
        <v>52</v>
      </c>
      <c r="B122" s="3">
        <v>45658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 s="2">
        <v>13</v>
      </c>
      <c r="I122" s="2">
        <v>83</v>
      </c>
      <c r="J122" s="2">
        <v>6.8</v>
      </c>
      <c r="K122" s="2">
        <v>0</v>
      </c>
      <c r="L122" s="2">
        <v>4.4000000000000004</v>
      </c>
      <c r="M122" s="2">
        <v>509484.81</v>
      </c>
      <c r="N122" s="2">
        <v>85742.36</v>
      </c>
    </row>
    <row r="123" spans="1:14">
      <c r="A123" s="2" t="s">
        <v>52</v>
      </c>
      <c r="B123" s="3">
        <v>45689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 s="2">
        <v>14</v>
      </c>
      <c r="I123" s="2">
        <v>89.4</v>
      </c>
      <c r="J123" s="2">
        <v>2.2000000000000002</v>
      </c>
      <c r="K123" s="2">
        <v>0</v>
      </c>
      <c r="L123" s="2">
        <v>3.7</v>
      </c>
      <c r="M123" s="2">
        <v>654317.09</v>
      </c>
      <c r="N123" s="2">
        <v>121446.89</v>
      </c>
    </row>
    <row r="124" spans="1:14">
      <c r="A124" s="2" t="s">
        <v>52</v>
      </c>
      <c r="B124" s="3">
        <v>45717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 s="2">
        <v>15</v>
      </c>
      <c r="I124" s="2">
        <v>85.7</v>
      </c>
      <c r="J124" s="2">
        <v>1.88</v>
      </c>
      <c r="K124" s="2">
        <v>0</v>
      </c>
      <c r="L124" s="2">
        <v>3.9</v>
      </c>
      <c r="M124" s="2">
        <v>557487.26</v>
      </c>
      <c r="N124" s="2">
        <v>76432.19</v>
      </c>
    </row>
    <row r="125" spans="1:14">
      <c r="A125" s="2" t="s">
        <v>52</v>
      </c>
      <c r="B125" s="3">
        <v>45748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 s="2">
        <v>10</v>
      </c>
      <c r="I125" s="2">
        <v>97.8</v>
      </c>
      <c r="J125" s="2">
        <v>15.79</v>
      </c>
      <c r="K125" s="2">
        <v>0</v>
      </c>
      <c r="L125" s="2">
        <v>4.4000000000000004</v>
      </c>
      <c r="M125" s="2">
        <v>441275.42</v>
      </c>
      <c r="N125" s="2">
        <v>58234.87</v>
      </c>
    </row>
    <row r="126" spans="1:14">
      <c r="A126" s="2" t="s">
        <v>53</v>
      </c>
      <c r="B126" s="3">
        <v>45658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 s="2">
        <v>25</v>
      </c>
      <c r="I126" s="2">
        <v>88.1</v>
      </c>
      <c r="J126" s="2">
        <v>2.34</v>
      </c>
      <c r="K126" s="2">
        <v>1</v>
      </c>
      <c r="L126" s="2">
        <v>4.8</v>
      </c>
      <c r="M126" s="2">
        <v>914544.17</v>
      </c>
      <c r="N126" s="2">
        <v>79831.73</v>
      </c>
    </row>
    <row r="127" spans="1:14">
      <c r="A127" s="2" t="s">
        <v>53</v>
      </c>
      <c r="B127" s="3">
        <v>45689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 s="2">
        <v>27</v>
      </c>
      <c r="I127" s="2">
        <v>98.3</v>
      </c>
      <c r="J127" s="2">
        <v>0.54</v>
      </c>
      <c r="K127" s="2">
        <v>0</v>
      </c>
      <c r="L127" s="2">
        <v>4.4000000000000004</v>
      </c>
      <c r="M127" s="2">
        <v>842439.67</v>
      </c>
      <c r="N127" s="2">
        <v>169983.63</v>
      </c>
    </row>
    <row r="128" spans="1:14">
      <c r="A128" s="2" t="s">
        <v>53</v>
      </c>
      <c r="B128" s="3">
        <v>45717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 s="2">
        <v>20</v>
      </c>
      <c r="I128" s="2">
        <v>88.2</v>
      </c>
      <c r="J128" s="2">
        <v>5.37</v>
      </c>
      <c r="K128" s="2">
        <v>1</v>
      </c>
      <c r="L128" s="2">
        <v>4.9000000000000004</v>
      </c>
      <c r="M128" s="2">
        <v>842157.92</v>
      </c>
      <c r="N128" s="2">
        <v>107348.22</v>
      </c>
    </row>
    <row r="129" spans="1:14">
      <c r="A129" s="2" t="s">
        <v>53</v>
      </c>
      <c r="B129" s="3">
        <v>45748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 s="2">
        <v>19</v>
      </c>
      <c r="I129" s="2">
        <v>81.5</v>
      </c>
      <c r="J129" s="2">
        <v>3.19</v>
      </c>
      <c r="K129" s="2">
        <v>0</v>
      </c>
      <c r="L129" s="2">
        <v>4.8</v>
      </c>
      <c r="M129" s="2">
        <v>697155.3</v>
      </c>
      <c r="N129" s="2">
        <v>136408.54</v>
      </c>
    </row>
    <row r="130" spans="1:14">
      <c r="A130" s="2" t="s">
        <v>54</v>
      </c>
      <c r="B130" s="3">
        <v>45658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 s="2">
        <v>27</v>
      </c>
      <c r="I130" s="2">
        <v>88.3</v>
      </c>
      <c r="J130" s="2">
        <v>1.1000000000000001</v>
      </c>
      <c r="K130" s="2">
        <v>1</v>
      </c>
      <c r="L130" s="2">
        <v>4.4000000000000004</v>
      </c>
      <c r="M130" s="2">
        <v>849018.3</v>
      </c>
      <c r="N130" s="2">
        <v>149035.13</v>
      </c>
    </row>
    <row r="131" spans="1:14">
      <c r="A131" s="2" t="s">
        <v>54</v>
      </c>
      <c r="B131" s="3">
        <v>45689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 s="2">
        <v>25</v>
      </c>
      <c r="I131" s="2">
        <v>81.2</v>
      </c>
      <c r="J131" s="2">
        <v>0.21</v>
      </c>
      <c r="K131" s="2">
        <v>0</v>
      </c>
      <c r="L131" s="2">
        <v>4</v>
      </c>
      <c r="M131" s="2">
        <v>801830.35</v>
      </c>
      <c r="N131" s="2">
        <v>114875.32</v>
      </c>
    </row>
    <row r="132" spans="1:14">
      <c r="A132" s="2" t="s">
        <v>54</v>
      </c>
      <c r="B132" s="3">
        <v>45717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 s="2">
        <v>19</v>
      </c>
      <c r="I132" s="2">
        <v>93.8</v>
      </c>
      <c r="J132" s="2">
        <v>5.12</v>
      </c>
      <c r="K132" s="2">
        <v>1</v>
      </c>
      <c r="L132" s="2">
        <v>4.5</v>
      </c>
      <c r="M132" s="2">
        <v>725235.28</v>
      </c>
      <c r="N132" s="2">
        <v>121632.24</v>
      </c>
    </row>
    <row r="133" spans="1:14">
      <c r="A133" s="2" t="s">
        <v>54</v>
      </c>
      <c r="B133" s="3">
        <v>45748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 s="2">
        <v>25</v>
      </c>
      <c r="I133" s="2">
        <v>85</v>
      </c>
      <c r="J133" s="2">
        <v>9.77</v>
      </c>
      <c r="K133" s="2">
        <v>0</v>
      </c>
      <c r="L133" s="2">
        <v>4.5</v>
      </c>
      <c r="M133" s="2">
        <v>811452.72</v>
      </c>
      <c r="N133" s="2">
        <v>131325.67000000001</v>
      </c>
    </row>
    <row r="134" spans="1:14">
      <c r="A134" s="2" t="s">
        <v>55</v>
      </c>
      <c r="B134" s="3">
        <v>45658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 s="2">
        <v>9</v>
      </c>
      <c r="I134" s="2">
        <v>87.9</v>
      </c>
      <c r="J134" s="2">
        <v>3.77</v>
      </c>
      <c r="K134" s="2">
        <v>0</v>
      </c>
      <c r="L134" s="2">
        <v>4.4000000000000004</v>
      </c>
      <c r="M134" s="2">
        <v>527300.13</v>
      </c>
      <c r="N134" s="2">
        <v>84197.87</v>
      </c>
    </row>
    <row r="135" spans="1:14">
      <c r="A135" s="2" t="s">
        <v>55</v>
      </c>
      <c r="B135" s="3">
        <v>45689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 s="2">
        <v>8</v>
      </c>
      <c r="I135" s="2">
        <v>81.099999999999994</v>
      </c>
      <c r="J135" s="2">
        <v>0.78</v>
      </c>
      <c r="K135" s="2">
        <v>0</v>
      </c>
      <c r="L135" s="2"/>
      <c r="M135" s="2">
        <v>400831.65</v>
      </c>
      <c r="N135" s="2">
        <v>70979.31</v>
      </c>
    </row>
    <row r="136" spans="1:14">
      <c r="A136" s="2" t="s">
        <v>55</v>
      </c>
      <c r="B136" s="3">
        <v>45717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 s="2">
        <v>11</v>
      </c>
      <c r="I136" s="2">
        <v>95.6</v>
      </c>
      <c r="J136" s="2">
        <v>5.17</v>
      </c>
      <c r="K136" s="2">
        <v>1</v>
      </c>
      <c r="L136" s="2">
        <v>4.4000000000000004</v>
      </c>
      <c r="M136" s="2">
        <v>593247.25</v>
      </c>
      <c r="N136" s="2">
        <v>81240.289999999994</v>
      </c>
    </row>
    <row r="137" spans="1:14">
      <c r="A137" s="2" t="s">
        <v>55</v>
      </c>
      <c r="B137" s="3">
        <v>45748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 s="2">
        <v>8</v>
      </c>
      <c r="I137" s="2">
        <v>89.8</v>
      </c>
      <c r="J137" s="2">
        <v>3.2</v>
      </c>
      <c r="K137" s="2">
        <v>0</v>
      </c>
      <c r="L137" s="2">
        <v>4.5999999999999996</v>
      </c>
      <c r="M137" s="2">
        <v>529075.94999999995</v>
      </c>
      <c r="N137" s="2">
        <v>95978.83</v>
      </c>
    </row>
    <row r="138" spans="1:14">
      <c r="A138" s="2" t="s">
        <v>56</v>
      </c>
      <c r="B138" s="3">
        <v>45658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 s="2">
        <v>20</v>
      </c>
      <c r="I138" s="2">
        <v>78.099999999999994</v>
      </c>
      <c r="J138" s="2">
        <v>3.4</v>
      </c>
      <c r="K138" s="2">
        <v>0</v>
      </c>
      <c r="L138" s="2"/>
      <c r="M138" s="2">
        <v>633638.03</v>
      </c>
      <c r="N138" s="2">
        <v>99402.01</v>
      </c>
    </row>
    <row r="139" spans="1:14">
      <c r="A139" s="2" t="s">
        <v>56</v>
      </c>
      <c r="B139" s="3">
        <v>45689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 s="2">
        <v>15</v>
      </c>
      <c r="I139" s="2">
        <v>96.3</v>
      </c>
      <c r="J139" s="2">
        <v>7.38</v>
      </c>
      <c r="K139" s="2">
        <v>0</v>
      </c>
      <c r="L139" s="2">
        <v>3.7</v>
      </c>
      <c r="M139" s="2">
        <v>743348.84</v>
      </c>
      <c r="N139" s="2">
        <v>104186.09</v>
      </c>
    </row>
    <row r="140" spans="1:14">
      <c r="A140" s="2" t="s">
        <v>56</v>
      </c>
      <c r="B140" s="3">
        <v>45717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 s="2">
        <v>18</v>
      </c>
      <c r="I140" s="2">
        <v>90.2</v>
      </c>
      <c r="J140" s="2">
        <v>0.85</v>
      </c>
      <c r="K140" s="2">
        <v>1</v>
      </c>
      <c r="L140" s="2">
        <v>3.3</v>
      </c>
      <c r="M140" s="2">
        <v>758827.64</v>
      </c>
      <c r="N140" s="2">
        <v>161439.48000000001</v>
      </c>
    </row>
    <row r="141" spans="1:14">
      <c r="A141" s="2" t="s">
        <v>56</v>
      </c>
      <c r="B141" s="3">
        <v>45748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 s="2">
        <v>12</v>
      </c>
      <c r="I141" s="2">
        <v>90</v>
      </c>
      <c r="J141" s="2">
        <v>2.89</v>
      </c>
      <c r="K141" s="2">
        <v>0</v>
      </c>
      <c r="L141" s="2">
        <v>3.6</v>
      </c>
      <c r="M141" s="2">
        <v>646559.71</v>
      </c>
      <c r="N141" s="2">
        <v>97981.75</v>
      </c>
    </row>
    <row r="142" spans="1:14">
      <c r="A142" s="2" t="s">
        <v>57</v>
      </c>
      <c r="B142" s="3">
        <v>45658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 s="2">
        <v>14</v>
      </c>
      <c r="I142" s="2">
        <v>88.8</v>
      </c>
      <c r="J142" s="2">
        <v>0.77</v>
      </c>
      <c r="K142" s="2">
        <v>0</v>
      </c>
      <c r="L142" s="2">
        <v>4.0999999999999996</v>
      </c>
      <c r="M142" s="2">
        <v>715890.53</v>
      </c>
      <c r="N142" s="2">
        <v>109032.15</v>
      </c>
    </row>
    <row r="143" spans="1:14">
      <c r="A143" s="2" t="s">
        <v>57</v>
      </c>
      <c r="B143" s="3">
        <v>45689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 s="2">
        <v>15</v>
      </c>
      <c r="I143" s="2">
        <v>94.2</v>
      </c>
      <c r="J143" s="2">
        <v>2.92</v>
      </c>
      <c r="K143" s="2">
        <v>0</v>
      </c>
      <c r="L143" s="2">
        <v>4.2</v>
      </c>
      <c r="M143" s="2">
        <v>715097.57</v>
      </c>
      <c r="N143" s="2">
        <v>151875.85999999999</v>
      </c>
    </row>
    <row r="144" spans="1:14">
      <c r="A144" s="2" t="s">
        <v>57</v>
      </c>
      <c r="B144" s="3">
        <v>45717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 s="2">
        <v>18</v>
      </c>
      <c r="I144" s="2">
        <v>88.5</v>
      </c>
      <c r="J144" s="2">
        <v>3.07</v>
      </c>
      <c r="K144" s="2">
        <v>0</v>
      </c>
      <c r="L144" s="2">
        <v>3.8</v>
      </c>
      <c r="M144" s="2">
        <v>682639.28</v>
      </c>
      <c r="N144" s="2">
        <v>77557.53</v>
      </c>
    </row>
    <row r="145" spans="1:14">
      <c r="A145" s="2" t="s">
        <v>57</v>
      </c>
      <c r="B145" s="3">
        <v>45748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 s="2">
        <v>19</v>
      </c>
      <c r="I145" s="2">
        <v>94</v>
      </c>
      <c r="J145" s="2">
        <v>9.6999999999999993</v>
      </c>
      <c r="K145" s="2">
        <v>0</v>
      </c>
      <c r="L145" s="2">
        <v>3.9</v>
      </c>
      <c r="M145" s="2">
        <v>695098.51</v>
      </c>
      <c r="N145" s="2">
        <v>108192.75</v>
      </c>
    </row>
    <row r="146" spans="1:14">
      <c r="A146" s="2" t="s">
        <v>58</v>
      </c>
      <c r="B146" s="3">
        <v>45658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 s="2">
        <v>12</v>
      </c>
      <c r="I146" s="2">
        <v>90.2</v>
      </c>
      <c r="J146" s="2">
        <v>3.71</v>
      </c>
      <c r="K146" s="2">
        <v>0</v>
      </c>
      <c r="L146" s="2">
        <v>3.2</v>
      </c>
      <c r="M146" s="2">
        <v>577732.56999999995</v>
      </c>
      <c r="N146" s="2">
        <v>93804.27</v>
      </c>
    </row>
    <row r="147" spans="1:14">
      <c r="A147" s="2" t="s">
        <v>58</v>
      </c>
      <c r="B147" s="3">
        <v>45689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 s="2">
        <v>13</v>
      </c>
      <c r="I147" s="2">
        <v>93.7</v>
      </c>
      <c r="J147" s="2">
        <v>10.79</v>
      </c>
      <c r="K147" s="2">
        <v>0</v>
      </c>
      <c r="L147" s="2">
        <v>3.5</v>
      </c>
      <c r="M147" s="2">
        <v>537058.32999999996</v>
      </c>
      <c r="N147" s="2">
        <v>93555.71</v>
      </c>
    </row>
    <row r="148" spans="1:14">
      <c r="A148" s="2" t="s">
        <v>58</v>
      </c>
      <c r="B148" s="3">
        <v>45717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 s="2">
        <v>15</v>
      </c>
      <c r="I148" s="2">
        <v>93.7</v>
      </c>
      <c r="J148" s="2">
        <v>6.03</v>
      </c>
      <c r="K148" s="2">
        <v>0</v>
      </c>
      <c r="L148" s="2">
        <v>3.4</v>
      </c>
      <c r="M148" s="2">
        <v>601568.87</v>
      </c>
      <c r="N148" s="2">
        <v>91634.82</v>
      </c>
    </row>
    <row r="149" spans="1:14">
      <c r="A149" s="2" t="s">
        <v>58</v>
      </c>
      <c r="B149" s="3">
        <v>45748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 s="2">
        <v>12</v>
      </c>
      <c r="I149" s="2">
        <v>89.4</v>
      </c>
      <c r="J149" s="2">
        <v>4.92</v>
      </c>
      <c r="K149" s="2">
        <v>0</v>
      </c>
      <c r="L149" s="2">
        <v>3.4</v>
      </c>
      <c r="M149" s="2">
        <v>570964.84</v>
      </c>
      <c r="N149" s="2">
        <v>81331.070000000007</v>
      </c>
    </row>
    <row r="150" spans="1:14">
      <c r="A150" s="2" t="s">
        <v>59</v>
      </c>
      <c r="B150" s="3">
        <v>45658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 s="2">
        <v>17</v>
      </c>
      <c r="I150" s="2">
        <v>88.1</v>
      </c>
      <c r="J150" s="2">
        <v>19.78</v>
      </c>
      <c r="K150" s="2">
        <v>0</v>
      </c>
      <c r="L150" s="2">
        <v>3.8</v>
      </c>
      <c r="M150" s="2">
        <v>614024.91</v>
      </c>
      <c r="N150" s="2">
        <v>84828.93</v>
      </c>
    </row>
    <row r="151" spans="1:14">
      <c r="A151" s="2" t="s">
        <v>59</v>
      </c>
      <c r="B151" s="3">
        <v>45689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 s="2">
        <v>13</v>
      </c>
      <c r="I151" s="2">
        <v>99</v>
      </c>
      <c r="J151" s="2">
        <v>5.45</v>
      </c>
      <c r="K151" s="2">
        <v>0</v>
      </c>
      <c r="L151" s="2">
        <v>4.0999999999999996</v>
      </c>
      <c r="M151" s="2">
        <v>712868.35</v>
      </c>
      <c r="N151" s="2">
        <v>133650.51</v>
      </c>
    </row>
    <row r="152" spans="1:14">
      <c r="A152" s="2" t="s">
        <v>59</v>
      </c>
      <c r="B152" s="3">
        <v>45717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 s="2">
        <v>12</v>
      </c>
      <c r="I152" s="2">
        <v>95</v>
      </c>
      <c r="J152" s="2">
        <v>2.33</v>
      </c>
      <c r="K152" s="2">
        <v>1</v>
      </c>
      <c r="L152" s="2">
        <v>3.7</v>
      </c>
      <c r="M152" s="2">
        <v>696744.15</v>
      </c>
      <c r="N152" s="2">
        <v>152230.09</v>
      </c>
    </row>
    <row r="153" spans="1:14">
      <c r="A153" s="2" t="s">
        <v>59</v>
      </c>
      <c r="B153" s="3">
        <v>45748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 s="2">
        <v>15</v>
      </c>
      <c r="I153" s="2">
        <v>94.3</v>
      </c>
      <c r="J153" s="2">
        <v>3.55</v>
      </c>
      <c r="K153" s="2">
        <v>0</v>
      </c>
      <c r="L153" s="2">
        <v>4.0999999999999996</v>
      </c>
      <c r="M153" s="2">
        <v>725847.99</v>
      </c>
      <c r="N153" s="2">
        <v>122698.73</v>
      </c>
    </row>
    <row r="154" spans="1:14">
      <c r="A154" s="2" t="s">
        <v>60</v>
      </c>
      <c r="B154" s="3">
        <v>45658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 s="2">
        <v>21</v>
      </c>
      <c r="I154" s="2">
        <v>87.4</v>
      </c>
      <c r="J154" s="2">
        <v>0.2</v>
      </c>
      <c r="K154" s="2">
        <v>0</v>
      </c>
      <c r="L154" s="2">
        <v>4.5</v>
      </c>
      <c r="M154" s="2">
        <v>785028.25</v>
      </c>
      <c r="N154" s="2">
        <v>110726.44</v>
      </c>
    </row>
    <row r="155" spans="1:14">
      <c r="A155" s="2" t="s">
        <v>60</v>
      </c>
      <c r="B155" s="3">
        <v>45689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 s="2">
        <v>18</v>
      </c>
      <c r="I155" s="2">
        <v>87</v>
      </c>
      <c r="J155" s="2">
        <v>2.09</v>
      </c>
      <c r="K155" s="2">
        <v>0</v>
      </c>
      <c r="L155" s="2">
        <v>4.2</v>
      </c>
      <c r="M155" s="2">
        <v>698492.67</v>
      </c>
      <c r="N155" s="2">
        <v>117319.32</v>
      </c>
    </row>
    <row r="156" spans="1:14">
      <c r="A156" s="2" t="s">
        <v>60</v>
      </c>
      <c r="B156" s="3">
        <v>45717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 s="2">
        <v>16</v>
      </c>
      <c r="I156" s="2">
        <v>90.5</v>
      </c>
      <c r="J156" s="2">
        <v>2.2599999999999998</v>
      </c>
      <c r="K156" s="2">
        <v>0</v>
      </c>
      <c r="L156" s="2">
        <v>4.2</v>
      </c>
      <c r="M156" s="2">
        <v>685830.24</v>
      </c>
      <c r="N156" s="2">
        <v>128736.18</v>
      </c>
    </row>
    <row r="157" spans="1:14">
      <c r="A157" s="2" t="s">
        <v>60</v>
      </c>
      <c r="B157" s="3">
        <v>45748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 s="2">
        <v>19</v>
      </c>
      <c r="I157" s="2">
        <v>90.1</v>
      </c>
      <c r="J157" s="2">
        <v>0.44</v>
      </c>
      <c r="K157" s="2">
        <v>0</v>
      </c>
      <c r="L157" s="2">
        <v>4.4000000000000004</v>
      </c>
      <c r="M157" s="2">
        <v>702318.94</v>
      </c>
      <c r="N157" s="2">
        <v>112829.29</v>
      </c>
    </row>
    <row r="158" spans="1:14">
      <c r="A158" s="2" t="s">
        <v>61</v>
      </c>
      <c r="B158" s="3">
        <v>45658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 s="2">
        <v>19</v>
      </c>
      <c r="I158" s="2">
        <v>85.2</v>
      </c>
      <c r="J158" s="2">
        <v>3.08</v>
      </c>
      <c r="K158" s="2">
        <v>0</v>
      </c>
      <c r="L158" s="2">
        <v>3.9</v>
      </c>
      <c r="M158" s="2">
        <v>700078.32</v>
      </c>
      <c r="N158" s="2">
        <v>123707.58</v>
      </c>
    </row>
    <row r="159" spans="1:14">
      <c r="A159" s="2" t="s">
        <v>61</v>
      </c>
      <c r="B159" s="3">
        <v>45689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 s="2">
        <v>11</v>
      </c>
      <c r="I159" s="2">
        <v>91.6</v>
      </c>
      <c r="J159" s="2">
        <v>7.99</v>
      </c>
      <c r="K159" s="2">
        <v>0</v>
      </c>
      <c r="L159" s="2">
        <v>3</v>
      </c>
      <c r="M159" s="2">
        <v>602002.31999999995</v>
      </c>
      <c r="N159" s="2">
        <v>110453.28</v>
      </c>
    </row>
    <row r="160" spans="1:14">
      <c r="A160" s="2" t="s">
        <v>61</v>
      </c>
      <c r="B160" s="3">
        <v>45717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 s="2">
        <v>18</v>
      </c>
      <c r="I160" s="2">
        <v>74.2</v>
      </c>
      <c r="J160" s="2">
        <v>0.2</v>
      </c>
      <c r="K160" s="2">
        <v>0</v>
      </c>
      <c r="L160" s="2">
        <v>3.4</v>
      </c>
      <c r="M160" s="2">
        <v>724216.07</v>
      </c>
      <c r="N160" s="2">
        <v>100627.56</v>
      </c>
    </row>
    <row r="161" spans="1:14">
      <c r="A161" s="2" t="s">
        <v>61</v>
      </c>
      <c r="B161" s="3">
        <v>45748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 s="2">
        <v>12</v>
      </c>
      <c r="I161" s="2">
        <v>93</v>
      </c>
      <c r="J161" s="2">
        <v>5.46</v>
      </c>
      <c r="K161" s="2">
        <v>0</v>
      </c>
      <c r="L161" s="2">
        <v>3.3</v>
      </c>
      <c r="M161" s="2">
        <v>620973.03</v>
      </c>
      <c r="N161" s="2">
        <v>72303.850000000006</v>
      </c>
    </row>
    <row r="162" spans="1:14">
      <c r="A162" s="2" t="s">
        <v>62</v>
      </c>
      <c r="B162" s="3">
        <v>45658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 s="2">
        <v>16</v>
      </c>
      <c r="I162" s="2">
        <v>90.1</v>
      </c>
      <c r="J162" s="2">
        <v>4.05</v>
      </c>
      <c r="K162" s="2">
        <v>0</v>
      </c>
      <c r="L162" s="2">
        <v>4</v>
      </c>
      <c r="M162" s="2">
        <v>650480.06000000006</v>
      </c>
      <c r="N162" s="2">
        <v>109012.07</v>
      </c>
    </row>
    <row r="163" spans="1:14">
      <c r="A163" s="2" t="s">
        <v>62</v>
      </c>
      <c r="B163" s="3">
        <v>45689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 s="2">
        <v>20</v>
      </c>
      <c r="I163" s="2">
        <v>91</v>
      </c>
      <c r="J163" s="2">
        <v>4.3600000000000003</v>
      </c>
      <c r="K163" s="2">
        <v>0</v>
      </c>
      <c r="L163" s="2">
        <v>4.2</v>
      </c>
      <c r="M163" s="2">
        <v>778298.88</v>
      </c>
      <c r="N163" s="2">
        <v>130076.72</v>
      </c>
    </row>
    <row r="164" spans="1:14">
      <c r="A164" s="2" t="s">
        <v>62</v>
      </c>
      <c r="B164" s="3">
        <v>45717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 s="2">
        <v>17</v>
      </c>
      <c r="I164" s="2">
        <v>72.599999999999994</v>
      </c>
      <c r="J164" s="2"/>
      <c r="K164" s="2">
        <v>0</v>
      </c>
      <c r="L164" s="2">
        <v>4.2</v>
      </c>
      <c r="M164" s="2">
        <v>677096.71</v>
      </c>
      <c r="N164" s="2">
        <v>97174.11</v>
      </c>
    </row>
    <row r="165" spans="1:14">
      <c r="A165" s="2" t="s">
        <v>62</v>
      </c>
      <c r="B165" s="3">
        <v>45748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 s="2">
        <v>19</v>
      </c>
      <c r="I165" s="2">
        <v>93.8</v>
      </c>
      <c r="J165" s="2">
        <v>0.54</v>
      </c>
      <c r="K165" s="2">
        <v>0</v>
      </c>
      <c r="L165" s="2">
        <v>4.3</v>
      </c>
      <c r="M165" s="2">
        <v>692008.64</v>
      </c>
      <c r="N165" s="2">
        <v>116337.87</v>
      </c>
    </row>
    <row r="166" spans="1:14">
      <c r="A166" s="2" t="s">
        <v>63</v>
      </c>
      <c r="B166" s="3">
        <v>45658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 s="2">
        <v>22</v>
      </c>
      <c r="I166" s="2">
        <v>82.9</v>
      </c>
      <c r="J166" s="2">
        <v>11.37</v>
      </c>
      <c r="K166" s="2">
        <v>1</v>
      </c>
      <c r="L166" s="2">
        <v>4.3</v>
      </c>
      <c r="M166" s="2">
        <v>825797.91</v>
      </c>
      <c r="N166" s="2">
        <v>130945.24</v>
      </c>
    </row>
    <row r="167" spans="1:14">
      <c r="A167" s="2" t="s">
        <v>63</v>
      </c>
      <c r="B167" s="3">
        <v>45689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 s="2">
        <v>22</v>
      </c>
      <c r="I167" s="2">
        <v>86.1</v>
      </c>
      <c r="J167" s="2">
        <v>9.43</v>
      </c>
      <c r="K167" s="2">
        <v>0</v>
      </c>
      <c r="L167" s="2">
        <v>4.2</v>
      </c>
      <c r="M167" s="2">
        <v>706285.52</v>
      </c>
      <c r="N167" s="2">
        <v>138014.72</v>
      </c>
    </row>
    <row r="168" spans="1:14">
      <c r="A168" s="2" t="s">
        <v>63</v>
      </c>
      <c r="B168" s="3">
        <v>45717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 s="2">
        <v>16</v>
      </c>
      <c r="I168" s="2">
        <v>90.3</v>
      </c>
      <c r="J168" s="2">
        <v>3.49</v>
      </c>
      <c r="K168" s="2">
        <v>0</v>
      </c>
      <c r="L168" s="2">
        <v>4</v>
      </c>
      <c r="M168" s="2">
        <v>665534.69999999995</v>
      </c>
      <c r="N168" s="2">
        <v>113167.73</v>
      </c>
    </row>
    <row r="169" spans="1:14">
      <c r="A169" s="2" t="s">
        <v>63</v>
      </c>
      <c r="B169" s="3">
        <v>45748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 s="2">
        <v>23</v>
      </c>
      <c r="I169" s="2">
        <v>89.2</v>
      </c>
      <c r="J169" s="2">
        <v>7.86</v>
      </c>
      <c r="K169" s="2">
        <v>0</v>
      </c>
      <c r="L169" s="2">
        <v>4.0999999999999996</v>
      </c>
      <c r="M169" s="2">
        <v>820729.29</v>
      </c>
      <c r="N169" s="2">
        <v>159325.47</v>
      </c>
    </row>
    <row r="170" spans="1:14">
      <c r="A170" s="2" t="s">
        <v>64</v>
      </c>
      <c r="B170" s="3">
        <v>45658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 s="2">
        <v>25</v>
      </c>
      <c r="I170" s="2">
        <v>87.1</v>
      </c>
      <c r="J170" s="2">
        <v>12.55</v>
      </c>
      <c r="K170" s="2">
        <v>0</v>
      </c>
      <c r="L170" s="2">
        <v>4.9000000000000004</v>
      </c>
      <c r="M170" s="2">
        <v>739831.73</v>
      </c>
      <c r="N170" s="2">
        <v>119490.21</v>
      </c>
    </row>
    <row r="171" spans="1:14">
      <c r="A171" s="2" t="s">
        <v>64</v>
      </c>
      <c r="B171" s="3">
        <v>45689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 s="2">
        <v>15</v>
      </c>
      <c r="I171" s="2">
        <v>84.1</v>
      </c>
      <c r="J171" s="2">
        <v>3.48</v>
      </c>
      <c r="K171" s="2">
        <v>0</v>
      </c>
      <c r="L171" s="2">
        <v>5</v>
      </c>
      <c r="M171" s="2">
        <v>593637.14</v>
      </c>
      <c r="N171" s="2">
        <v>106648.14</v>
      </c>
    </row>
    <row r="172" spans="1:14">
      <c r="A172" s="2" t="s">
        <v>64</v>
      </c>
      <c r="B172" s="3">
        <v>45717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 s="2">
        <v>21</v>
      </c>
      <c r="I172" s="2">
        <v>84.7</v>
      </c>
      <c r="J172" s="2">
        <v>7.73</v>
      </c>
      <c r="K172" s="2">
        <v>0</v>
      </c>
      <c r="L172" s="2">
        <v>4.9000000000000004</v>
      </c>
      <c r="M172" s="2">
        <v>769702.76</v>
      </c>
      <c r="N172" s="2">
        <v>158697</v>
      </c>
    </row>
    <row r="173" spans="1:14">
      <c r="A173" s="2" t="s">
        <v>64</v>
      </c>
      <c r="B173" s="3">
        <v>45748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 s="2">
        <v>18</v>
      </c>
      <c r="I173" s="2">
        <v>89.8</v>
      </c>
      <c r="J173" s="2">
        <v>0.25</v>
      </c>
      <c r="K173" s="2">
        <v>0</v>
      </c>
      <c r="L173" s="2">
        <v>4.4000000000000004</v>
      </c>
      <c r="M173" s="2">
        <v>679731.57</v>
      </c>
      <c r="N173" s="2">
        <v>121546.42</v>
      </c>
    </row>
    <row r="174" spans="1:14">
      <c r="A174" s="2" t="s">
        <v>65</v>
      </c>
      <c r="B174" s="3">
        <v>45658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 s="2">
        <v>20</v>
      </c>
      <c r="I174" s="2">
        <v>94.4</v>
      </c>
      <c r="J174" s="2">
        <v>6.43</v>
      </c>
      <c r="K174" s="2">
        <v>0</v>
      </c>
      <c r="L174" s="2">
        <v>3.3</v>
      </c>
      <c r="M174" s="2">
        <v>780344.18</v>
      </c>
      <c r="N174" s="2">
        <v>118239.09</v>
      </c>
    </row>
    <row r="175" spans="1:14">
      <c r="A175" s="2" t="s">
        <v>65</v>
      </c>
      <c r="B175" s="3">
        <v>45689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 s="2">
        <v>22</v>
      </c>
      <c r="I175" s="2">
        <v>89</v>
      </c>
      <c r="J175" s="2">
        <v>2.11</v>
      </c>
      <c r="K175" s="2">
        <v>0</v>
      </c>
      <c r="L175" s="2">
        <v>3.1</v>
      </c>
      <c r="M175" s="2">
        <v>721364.11</v>
      </c>
      <c r="N175" s="2">
        <v>147272.81</v>
      </c>
    </row>
    <row r="176" spans="1:14">
      <c r="A176" s="2" t="s">
        <v>65</v>
      </c>
      <c r="B176" s="3">
        <v>45717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 s="2">
        <v>20</v>
      </c>
      <c r="I176" s="2">
        <v>83.9</v>
      </c>
      <c r="J176" s="2">
        <v>9.1199999999999992</v>
      </c>
      <c r="K176" s="2">
        <v>0</v>
      </c>
      <c r="L176" s="2">
        <v>3.6</v>
      </c>
      <c r="M176" s="2">
        <v>758138.29</v>
      </c>
      <c r="N176" s="2">
        <v>132975.26</v>
      </c>
    </row>
    <row r="177" spans="1:14">
      <c r="A177" s="2" t="s">
        <v>65</v>
      </c>
      <c r="B177" s="3">
        <v>45748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 s="2">
        <v>23</v>
      </c>
      <c r="I177" s="2">
        <v>93.9</v>
      </c>
      <c r="J177" s="2">
        <v>2.71</v>
      </c>
      <c r="K177" s="2">
        <v>0</v>
      </c>
      <c r="L177" s="2">
        <v>3.1</v>
      </c>
      <c r="M177" s="2">
        <v>804264</v>
      </c>
      <c r="N177" s="2">
        <v>167117.91</v>
      </c>
    </row>
    <row r="178" spans="1:14">
      <c r="A178" s="2" t="s">
        <v>66</v>
      </c>
      <c r="B178" s="3">
        <v>45658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 s="2">
        <v>24</v>
      </c>
      <c r="I178" s="2">
        <v>76.599999999999994</v>
      </c>
      <c r="J178" s="2">
        <v>3.65</v>
      </c>
      <c r="K178" s="2">
        <v>1</v>
      </c>
      <c r="L178" s="2">
        <v>3.7</v>
      </c>
      <c r="M178" s="2">
        <v>887537.75</v>
      </c>
      <c r="N178" s="2">
        <v>160362.92000000001</v>
      </c>
    </row>
    <row r="179" spans="1:14">
      <c r="A179" s="2" t="s">
        <v>66</v>
      </c>
      <c r="B179" s="3">
        <v>45689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 s="2">
        <v>21</v>
      </c>
      <c r="I179" s="2">
        <v>90.9</v>
      </c>
      <c r="J179" s="2">
        <v>7.86</v>
      </c>
      <c r="K179" s="2">
        <v>0</v>
      </c>
      <c r="L179" s="2">
        <v>4</v>
      </c>
      <c r="M179" s="2">
        <v>783582</v>
      </c>
      <c r="N179" s="2">
        <v>130670.93</v>
      </c>
    </row>
    <row r="180" spans="1:14">
      <c r="A180" s="2" t="s">
        <v>66</v>
      </c>
      <c r="B180" s="3">
        <v>45717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 s="2">
        <v>21</v>
      </c>
      <c r="I180" s="2">
        <v>86.6</v>
      </c>
      <c r="J180" s="2">
        <v>0.3</v>
      </c>
      <c r="K180" s="2">
        <v>0</v>
      </c>
      <c r="L180" s="2">
        <v>4.0999999999999996</v>
      </c>
      <c r="M180" s="2">
        <v>781955.52</v>
      </c>
      <c r="N180" s="2">
        <v>152578.71</v>
      </c>
    </row>
    <row r="181" spans="1:14">
      <c r="A181" s="2" t="s">
        <v>66</v>
      </c>
      <c r="B181" s="3">
        <v>45748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 s="2">
        <v>20</v>
      </c>
      <c r="I181" s="2">
        <v>89.6</v>
      </c>
      <c r="J181" s="2">
        <v>8.44</v>
      </c>
      <c r="K181" s="2">
        <v>0</v>
      </c>
      <c r="L181" s="2">
        <v>4.0999999999999996</v>
      </c>
      <c r="M181" s="2">
        <v>898031.04</v>
      </c>
      <c r="N181" s="2">
        <v>138666.5</v>
      </c>
    </row>
    <row r="182" spans="1:14">
      <c r="A182" s="2" t="s">
        <v>67</v>
      </c>
      <c r="B182" s="3">
        <v>45658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 s="2">
        <v>24</v>
      </c>
      <c r="I182" s="2">
        <v>89.4</v>
      </c>
      <c r="J182" s="2">
        <v>5.27</v>
      </c>
      <c r="K182" s="2">
        <v>1</v>
      </c>
      <c r="L182" s="2">
        <v>3.9</v>
      </c>
      <c r="M182" s="2">
        <v>855341.28</v>
      </c>
      <c r="N182" s="2">
        <v>175823.8</v>
      </c>
    </row>
    <row r="183" spans="1:14">
      <c r="A183" s="2" t="s">
        <v>67</v>
      </c>
      <c r="B183" s="3">
        <v>45689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 s="2">
        <v>22</v>
      </c>
      <c r="I183" s="2">
        <v>86.4</v>
      </c>
      <c r="J183" s="2">
        <v>13.22</v>
      </c>
      <c r="K183" s="2">
        <v>0</v>
      </c>
      <c r="L183" s="2">
        <v>3.6</v>
      </c>
      <c r="M183" s="2">
        <v>751393.88</v>
      </c>
      <c r="N183" s="2">
        <v>91480.320000000007</v>
      </c>
    </row>
    <row r="184" spans="1:14">
      <c r="A184" s="2" t="s">
        <v>67</v>
      </c>
      <c r="B184" s="3">
        <v>45717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 s="2">
        <v>24</v>
      </c>
      <c r="I184" s="2">
        <v>76.8</v>
      </c>
      <c r="J184" s="2">
        <v>1.02</v>
      </c>
      <c r="K184" s="2">
        <v>1</v>
      </c>
      <c r="L184" s="2">
        <v>3.8</v>
      </c>
      <c r="M184" s="2">
        <v>761077.08</v>
      </c>
      <c r="N184" s="2">
        <v>113605.93</v>
      </c>
    </row>
    <row r="185" spans="1:14">
      <c r="A185" s="2" t="s">
        <v>67</v>
      </c>
      <c r="B185" s="3">
        <v>45748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 s="2">
        <v>25</v>
      </c>
      <c r="I185" s="2">
        <v>90.1</v>
      </c>
      <c r="J185" s="2">
        <v>4.03</v>
      </c>
      <c r="K185" s="2">
        <v>0</v>
      </c>
      <c r="L185" s="2">
        <v>3.1</v>
      </c>
      <c r="M185" s="2">
        <v>819660.59</v>
      </c>
      <c r="N185" s="2">
        <v>172699.95</v>
      </c>
    </row>
    <row r="186" spans="1:14">
      <c r="A186" s="2" t="s">
        <v>68</v>
      </c>
      <c r="B186" s="3">
        <v>45658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 s="2">
        <v>13</v>
      </c>
      <c r="I186" s="2">
        <v>93.7</v>
      </c>
      <c r="J186" s="2">
        <v>2.34</v>
      </c>
      <c r="K186" s="2">
        <v>0</v>
      </c>
      <c r="L186" s="2">
        <v>4.4000000000000004</v>
      </c>
      <c r="M186" s="2">
        <v>681855.56</v>
      </c>
      <c r="N186" s="2">
        <v>117645.61</v>
      </c>
    </row>
    <row r="187" spans="1:14">
      <c r="A187" s="2" t="s">
        <v>68</v>
      </c>
      <c r="B187" s="3">
        <v>45689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 s="2">
        <v>15</v>
      </c>
      <c r="I187" s="2">
        <v>95.5</v>
      </c>
      <c r="J187" s="2">
        <v>8.51</v>
      </c>
      <c r="K187" s="2">
        <v>0</v>
      </c>
      <c r="L187" s="2">
        <v>4.4000000000000004</v>
      </c>
      <c r="M187" s="2">
        <v>678311.17</v>
      </c>
      <c r="N187" s="2">
        <v>132029.76000000001</v>
      </c>
    </row>
    <row r="188" spans="1:14">
      <c r="A188" s="2" t="s">
        <v>68</v>
      </c>
      <c r="B188" s="3">
        <v>45717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 s="2">
        <v>14</v>
      </c>
      <c r="I188" s="2">
        <v>99</v>
      </c>
      <c r="J188" s="2">
        <v>0.48</v>
      </c>
      <c r="K188" s="2">
        <v>1</v>
      </c>
      <c r="L188" s="2">
        <v>4.3</v>
      </c>
      <c r="M188" s="2">
        <v>765906.95</v>
      </c>
      <c r="N188" s="2">
        <v>114005.9</v>
      </c>
    </row>
    <row r="189" spans="1:14">
      <c r="A189" s="2" t="s">
        <v>68</v>
      </c>
      <c r="B189" s="3">
        <v>45748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 s="2">
        <v>20</v>
      </c>
      <c r="I189" s="2">
        <v>74.900000000000006</v>
      </c>
      <c r="J189" s="2">
        <v>13.62</v>
      </c>
      <c r="K189" s="2">
        <v>0</v>
      </c>
      <c r="L189" s="2">
        <v>4.2</v>
      </c>
      <c r="M189" s="2">
        <v>712546.38</v>
      </c>
      <c r="N189" s="2">
        <v>101480.04</v>
      </c>
    </row>
    <row r="190" spans="1:14">
      <c r="A190" s="2" t="s">
        <v>69</v>
      </c>
      <c r="B190" s="3">
        <v>45658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 s="2">
        <v>11</v>
      </c>
      <c r="I190" s="2">
        <v>86.4</v>
      </c>
      <c r="J190" s="2">
        <v>7.77</v>
      </c>
      <c r="K190" s="2">
        <v>0</v>
      </c>
      <c r="L190" s="2">
        <v>4.0999999999999996</v>
      </c>
      <c r="M190" s="2">
        <v>625993.82999999996</v>
      </c>
      <c r="N190" s="2">
        <v>98960.320000000007</v>
      </c>
    </row>
    <row r="191" spans="1:14">
      <c r="A191" s="2" t="s">
        <v>69</v>
      </c>
      <c r="B191" s="3">
        <v>45689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 s="2">
        <v>10</v>
      </c>
      <c r="I191" s="2">
        <v>91.3</v>
      </c>
      <c r="J191" s="2">
        <v>1.99</v>
      </c>
      <c r="K191" s="2">
        <v>0</v>
      </c>
      <c r="L191" s="2">
        <v>3.8</v>
      </c>
      <c r="M191" s="2">
        <v>550962.93000000005</v>
      </c>
      <c r="N191" s="2">
        <v>97144.58</v>
      </c>
    </row>
    <row r="192" spans="1:14">
      <c r="A192" s="2" t="s">
        <v>69</v>
      </c>
      <c r="B192" s="3">
        <v>45717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 s="2">
        <v>9</v>
      </c>
      <c r="I192" s="2">
        <v>84.1</v>
      </c>
      <c r="J192" s="2">
        <v>4.7699999999999996</v>
      </c>
      <c r="K192" s="2">
        <v>0</v>
      </c>
      <c r="L192" s="2">
        <v>3.8</v>
      </c>
      <c r="M192" s="2">
        <v>443275.59</v>
      </c>
      <c r="N192" s="2">
        <v>53544.36</v>
      </c>
    </row>
    <row r="193" spans="1:14">
      <c r="A193" s="2" t="s">
        <v>69</v>
      </c>
      <c r="B193" s="3">
        <v>45748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 s="2">
        <v>13</v>
      </c>
      <c r="I193" s="2">
        <v>88.7</v>
      </c>
      <c r="J193" s="2">
        <v>0.2</v>
      </c>
      <c r="K193" s="2">
        <v>0</v>
      </c>
      <c r="L193" s="2">
        <v>4.4000000000000004</v>
      </c>
      <c r="M193" s="2">
        <v>554012.06999999995</v>
      </c>
      <c r="N193" s="2">
        <v>81101.62</v>
      </c>
    </row>
    <row r="194" spans="1:14">
      <c r="A194" s="2" t="s">
        <v>70</v>
      </c>
      <c r="B194" s="3">
        <v>45658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 s="2">
        <v>14</v>
      </c>
      <c r="I194" s="2">
        <v>87.9</v>
      </c>
      <c r="J194" s="2">
        <v>0.53</v>
      </c>
      <c r="K194" s="2">
        <v>0</v>
      </c>
      <c r="L194" s="2">
        <v>3.2</v>
      </c>
      <c r="M194" s="2">
        <v>643428.85</v>
      </c>
      <c r="N194" s="2">
        <v>94477.63</v>
      </c>
    </row>
    <row r="195" spans="1:14">
      <c r="A195" s="2" t="s">
        <v>70</v>
      </c>
      <c r="B195" s="3">
        <v>45689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 s="2">
        <v>12</v>
      </c>
      <c r="I195" s="2">
        <v>88.5</v>
      </c>
      <c r="J195" s="2">
        <v>1.54</v>
      </c>
      <c r="K195" s="2">
        <v>0</v>
      </c>
      <c r="L195" s="2">
        <v>3.2</v>
      </c>
      <c r="M195" s="2">
        <v>611924.27</v>
      </c>
      <c r="N195" s="2">
        <v>115488.75</v>
      </c>
    </row>
    <row r="196" spans="1:14">
      <c r="A196" s="2" t="s">
        <v>70</v>
      </c>
      <c r="B196" s="3">
        <v>45717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 s="2">
        <v>14</v>
      </c>
      <c r="I196" s="2">
        <v>86.6</v>
      </c>
      <c r="J196" s="2">
        <v>3.63</v>
      </c>
      <c r="K196" s="2">
        <v>0</v>
      </c>
      <c r="L196" s="2">
        <v>3.7</v>
      </c>
      <c r="M196" s="2">
        <v>559422.02</v>
      </c>
      <c r="N196" s="2">
        <v>73528.740000000005</v>
      </c>
    </row>
    <row r="197" spans="1:14">
      <c r="A197" s="2" t="s">
        <v>70</v>
      </c>
      <c r="B197" s="3">
        <v>45748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 s="2">
        <v>7</v>
      </c>
      <c r="I197" s="2">
        <v>85.4</v>
      </c>
      <c r="J197" s="2">
        <v>13.48</v>
      </c>
      <c r="K197" s="2">
        <v>0</v>
      </c>
      <c r="L197" s="2"/>
      <c r="M197" s="2">
        <v>449465.06</v>
      </c>
      <c r="N197" s="2">
        <v>65694.78</v>
      </c>
    </row>
    <row r="198" spans="1:14">
      <c r="A198" s="2" t="s">
        <v>71</v>
      </c>
      <c r="B198" s="3">
        <v>45658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 s="2">
        <v>11</v>
      </c>
      <c r="I198" s="2">
        <v>89.6</v>
      </c>
      <c r="J198" s="2">
        <v>0.2</v>
      </c>
      <c r="K198" s="2">
        <v>0</v>
      </c>
      <c r="L198" s="2">
        <v>4.2</v>
      </c>
      <c r="M198" s="2">
        <v>691447.43</v>
      </c>
      <c r="N198" s="2">
        <v>114077.69</v>
      </c>
    </row>
    <row r="199" spans="1:14">
      <c r="A199" s="2" t="s">
        <v>71</v>
      </c>
      <c r="B199" s="3">
        <v>45689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 s="2">
        <v>15</v>
      </c>
      <c r="I199" s="2">
        <v>90.6</v>
      </c>
      <c r="J199" s="2">
        <v>12.82</v>
      </c>
      <c r="K199" s="2">
        <v>0</v>
      </c>
      <c r="L199" s="2">
        <v>4.5999999999999996</v>
      </c>
      <c r="M199" s="2">
        <v>574066.61</v>
      </c>
      <c r="N199" s="2">
        <v>124674.67</v>
      </c>
    </row>
    <row r="200" spans="1:14">
      <c r="A200" s="2" t="s">
        <v>71</v>
      </c>
      <c r="B200" s="3">
        <v>45717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 s="2">
        <v>13</v>
      </c>
      <c r="I200" s="2">
        <v>86</v>
      </c>
      <c r="J200" s="2">
        <v>2.2400000000000002</v>
      </c>
      <c r="K200" s="2">
        <v>1</v>
      </c>
      <c r="L200" s="2">
        <v>4.3</v>
      </c>
      <c r="M200" s="2">
        <v>578949.84</v>
      </c>
      <c r="N200" s="2">
        <v>80253.649999999994</v>
      </c>
    </row>
    <row r="201" spans="1:14">
      <c r="A201" s="2" t="s">
        <v>71</v>
      </c>
      <c r="B201" s="3">
        <v>45748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 s="2">
        <v>18</v>
      </c>
      <c r="I201" s="2">
        <v>90</v>
      </c>
      <c r="J201" s="2">
        <v>1.8</v>
      </c>
      <c r="K201" s="2">
        <v>0</v>
      </c>
      <c r="L201" s="2">
        <v>4.8</v>
      </c>
      <c r="M201" s="2">
        <v>735786.64</v>
      </c>
      <c r="N201" s="2">
        <v>126540.66</v>
      </c>
    </row>
    <row r="202" spans="1:14">
      <c r="A202" s="2" t="s">
        <v>72</v>
      </c>
      <c r="B202" s="3">
        <v>45658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 s="2">
        <v>13</v>
      </c>
      <c r="I202" s="2">
        <v>84.2</v>
      </c>
      <c r="J202" s="2">
        <v>0.41</v>
      </c>
      <c r="K202" s="2">
        <v>1</v>
      </c>
      <c r="L202" s="2">
        <v>4.5999999999999996</v>
      </c>
      <c r="M202" s="2">
        <v>598904.9</v>
      </c>
      <c r="N202" s="2">
        <v>72861</v>
      </c>
    </row>
    <row r="203" spans="1:14">
      <c r="A203" s="2" t="s">
        <v>72</v>
      </c>
      <c r="B203" s="3">
        <v>45689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 s="2">
        <v>13</v>
      </c>
      <c r="I203" s="2">
        <v>83.9</v>
      </c>
      <c r="J203" s="2">
        <v>3.05</v>
      </c>
      <c r="K203" s="2">
        <v>0</v>
      </c>
      <c r="L203" s="2">
        <v>4.8</v>
      </c>
      <c r="M203" s="2">
        <v>787715.51</v>
      </c>
      <c r="N203" s="2">
        <v>128969.62</v>
      </c>
    </row>
    <row r="204" spans="1:14">
      <c r="A204" s="2" t="s">
        <v>72</v>
      </c>
      <c r="B204" s="3">
        <v>45717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 s="2">
        <v>14</v>
      </c>
      <c r="I204" s="2">
        <v>80.8</v>
      </c>
      <c r="J204" s="2">
        <v>8.44</v>
      </c>
      <c r="K204" s="2">
        <v>1</v>
      </c>
      <c r="L204" s="2">
        <v>5</v>
      </c>
      <c r="M204" s="2">
        <v>607084.92000000004</v>
      </c>
      <c r="N204" s="2">
        <v>98558.49</v>
      </c>
    </row>
    <row r="205" spans="1:14">
      <c r="A205" s="2" t="s">
        <v>72</v>
      </c>
      <c r="B205" s="3">
        <v>45748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 s="2">
        <v>15</v>
      </c>
      <c r="I205" s="2">
        <v>88.7</v>
      </c>
      <c r="J205" s="2">
        <v>0.78</v>
      </c>
      <c r="K205" s="2">
        <v>0</v>
      </c>
      <c r="L205" s="2">
        <v>4</v>
      </c>
      <c r="M205" s="2">
        <v>650795.49</v>
      </c>
      <c r="N205" s="2">
        <v>103035.89</v>
      </c>
    </row>
    <row r="206" spans="1:14">
      <c r="A206" s="2" t="s">
        <v>73</v>
      </c>
      <c r="B206" s="3">
        <v>45658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 s="2">
        <v>24</v>
      </c>
      <c r="I206" s="2">
        <v>94.3</v>
      </c>
      <c r="J206" s="2">
        <v>0.87</v>
      </c>
      <c r="K206" s="2">
        <v>0</v>
      </c>
      <c r="L206" s="2">
        <v>3.7</v>
      </c>
      <c r="M206" s="2">
        <v>825060.52</v>
      </c>
      <c r="N206" s="2">
        <v>143613.15</v>
      </c>
    </row>
    <row r="207" spans="1:14">
      <c r="A207" s="2" t="s">
        <v>73</v>
      </c>
      <c r="B207" s="3">
        <v>45689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 s="2">
        <v>19</v>
      </c>
      <c r="I207" s="2">
        <v>94.1</v>
      </c>
      <c r="J207" s="2">
        <v>0.95</v>
      </c>
      <c r="K207" s="2">
        <v>0</v>
      </c>
      <c r="L207" s="2">
        <v>3.7</v>
      </c>
      <c r="M207" s="2">
        <v>795464.47</v>
      </c>
      <c r="N207" s="2">
        <v>161150.51999999999</v>
      </c>
    </row>
    <row r="208" spans="1:14">
      <c r="A208" s="2" t="s">
        <v>73</v>
      </c>
      <c r="B208" s="3">
        <v>45717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 s="2">
        <v>19</v>
      </c>
      <c r="I208" s="2">
        <v>83.2</v>
      </c>
      <c r="J208" s="2">
        <v>3.82</v>
      </c>
      <c r="K208" s="2">
        <v>0</v>
      </c>
      <c r="L208" s="2">
        <v>3.7</v>
      </c>
      <c r="M208" s="2">
        <v>671868.59</v>
      </c>
      <c r="N208" s="2">
        <v>71003.28</v>
      </c>
    </row>
    <row r="209" spans="1:14">
      <c r="A209" s="2" t="s">
        <v>73</v>
      </c>
      <c r="B209" s="3">
        <v>45748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 s="2">
        <v>18</v>
      </c>
      <c r="I209" s="2">
        <v>93.6</v>
      </c>
      <c r="J209" s="2">
        <v>2.7</v>
      </c>
      <c r="K209" s="2">
        <v>0</v>
      </c>
      <c r="L209" s="2">
        <v>3.7</v>
      </c>
      <c r="M209" s="2">
        <v>675917.63</v>
      </c>
      <c r="N209" s="2">
        <v>112564.75</v>
      </c>
    </row>
    <row r="210" spans="1:14">
      <c r="A210" s="2" t="s">
        <v>74</v>
      </c>
      <c r="B210" s="3">
        <v>45658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 s="2">
        <v>24</v>
      </c>
      <c r="I210" s="2">
        <v>87</v>
      </c>
      <c r="J210" s="2">
        <v>3.84</v>
      </c>
      <c r="K210" s="2">
        <v>1</v>
      </c>
      <c r="L210" s="2">
        <v>3.7</v>
      </c>
      <c r="M210" s="2">
        <v>810446.53</v>
      </c>
      <c r="N210" s="2">
        <v>200575.34</v>
      </c>
    </row>
    <row r="211" spans="1:14">
      <c r="A211" s="2" t="s">
        <v>74</v>
      </c>
      <c r="B211" s="3">
        <v>45689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 s="2">
        <v>19</v>
      </c>
      <c r="I211" s="2">
        <v>84.9</v>
      </c>
      <c r="J211" s="2">
        <v>5.09</v>
      </c>
      <c r="K211" s="2">
        <v>0</v>
      </c>
      <c r="L211" s="2">
        <v>3.3</v>
      </c>
      <c r="M211" s="2">
        <v>691288.19</v>
      </c>
      <c r="N211" s="2">
        <v>159074.14000000001</v>
      </c>
    </row>
    <row r="212" spans="1:14">
      <c r="A212" s="2" t="s">
        <v>74</v>
      </c>
      <c r="B212" s="3">
        <v>45717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 s="2">
        <v>31</v>
      </c>
      <c r="I212" s="2">
        <v>91.7</v>
      </c>
      <c r="J212" s="2">
        <v>3.82</v>
      </c>
      <c r="K212" s="2">
        <v>1</v>
      </c>
      <c r="L212" s="2">
        <v>3.7</v>
      </c>
      <c r="M212" s="2">
        <v>946833.54</v>
      </c>
      <c r="N212" s="2">
        <v>184540.31</v>
      </c>
    </row>
    <row r="213" spans="1:14">
      <c r="A213" s="2" t="s">
        <v>74</v>
      </c>
      <c r="B213" s="3">
        <v>45748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 s="2">
        <v>21</v>
      </c>
      <c r="I213" s="2">
        <v>87</v>
      </c>
      <c r="J213" s="2">
        <v>12.28</v>
      </c>
      <c r="K213" s="2">
        <v>0</v>
      </c>
      <c r="L213" s="2">
        <v>4.0999999999999996</v>
      </c>
      <c r="M213" s="2">
        <v>761963.23</v>
      </c>
      <c r="N213" s="2">
        <v>150113.60999999999</v>
      </c>
    </row>
    <row r="214" spans="1:14">
      <c r="A214" s="2" t="s">
        <v>75</v>
      </c>
      <c r="B214" s="3">
        <v>45658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 s="2">
        <v>25</v>
      </c>
      <c r="I214" s="2">
        <v>89.7</v>
      </c>
      <c r="J214" s="2">
        <v>2.8</v>
      </c>
      <c r="K214" s="2">
        <v>0</v>
      </c>
      <c r="L214" s="2">
        <v>4.3</v>
      </c>
      <c r="M214" s="2">
        <v>812152.6</v>
      </c>
      <c r="N214" s="2">
        <v>138419.43</v>
      </c>
    </row>
    <row r="215" spans="1:14">
      <c r="A215" s="2" t="s">
        <v>75</v>
      </c>
      <c r="B215" s="3">
        <v>45689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 s="2">
        <v>22</v>
      </c>
      <c r="I215" s="2">
        <v>91</v>
      </c>
      <c r="J215" s="2">
        <v>3.67</v>
      </c>
      <c r="K215" s="2">
        <v>0</v>
      </c>
      <c r="L215" s="2">
        <v>4.2</v>
      </c>
      <c r="M215" s="2">
        <v>804975.5</v>
      </c>
      <c r="N215" s="2">
        <v>140054.5</v>
      </c>
    </row>
    <row r="216" spans="1:14">
      <c r="A216" s="2" t="s">
        <v>75</v>
      </c>
      <c r="B216" s="3">
        <v>45717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 s="2">
        <v>22</v>
      </c>
      <c r="I216" s="2">
        <v>88</v>
      </c>
      <c r="J216" s="2">
        <v>2.81</v>
      </c>
      <c r="K216" s="2">
        <v>0</v>
      </c>
      <c r="L216" s="2">
        <v>4.7</v>
      </c>
      <c r="M216" s="2">
        <v>752321.72</v>
      </c>
      <c r="N216" s="2">
        <v>137788.51</v>
      </c>
    </row>
    <row r="217" spans="1:14">
      <c r="A217" s="2" t="s">
        <v>75</v>
      </c>
      <c r="B217" s="3">
        <v>45748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 s="2">
        <v>25</v>
      </c>
      <c r="I217" s="2">
        <v>88.4</v>
      </c>
      <c r="J217" s="2">
        <v>2.44</v>
      </c>
      <c r="K217" s="2">
        <v>0</v>
      </c>
      <c r="L217" s="2">
        <v>4.9000000000000004</v>
      </c>
      <c r="M217" s="2">
        <v>836908.24</v>
      </c>
      <c r="N217" s="2">
        <v>141090.26</v>
      </c>
    </row>
    <row r="218" spans="1:14">
      <c r="A218" s="2" t="s">
        <v>76</v>
      </c>
      <c r="B218" s="3">
        <v>45658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 s="2">
        <v>12</v>
      </c>
      <c r="I218" s="2">
        <v>82.9</v>
      </c>
      <c r="J218" s="2">
        <v>3.27</v>
      </c>
      <c r="K218" s="2">
        <v>0</v>
      </c>
      <c r="L218" s="2">
        <v>3.3</v>
      </c>
      <c r="M218" s="2">
        <v>674289.1</v>
      </c>
      <c r="N218" s="2">
        <v>117773.79</v>
      </c>
    </row>
    <row r="219" spans="1:14">
      <c r="A219" s="2" t="s">
        <v>76</v>
      </c>
      <c r="B219" s="3">
        <v>45689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 s="2">
        <v>17</v>
      </c>
      <c r="I219" s="2">
        <v>94.3</v>
      </c>
      <c r="J219" s="2">
        <v>10.34</v>
      </c>
      <c r="K219" s="2">
        <v>0</v>
      </c>
      <c r="L219" s="2">
        <v>3.9</v>
      </c>
      <c r="M219" s="2">
        <v>622892.42000000004</v>
      </c>
      <c r="N219" s="2">
        <v>101032.52</v>
      </c>
    </row>
    <row r="220" spans="1:14">
      <c r="A220" s="2" t="s">
        <v>76</v>
      </c>
      <c r="B220" s="3">
        <v>45717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 s="2">
        <v>14</v>
      </c>
      <c r="I220" s="2">
        <v>90.7</v>
      </c>
      <c r="J220" s="2">
        <v>1.92</v>
      </c>
      <c r="K220" s="2">
        <v>0</v>
      </c>
      <c r="L220" s="2">
        <v>3.7</v>
      </c>
      <c r="M220" s="2">
        <v>673348.56</v>
      </c>
      <c r="N220" s="2">
        <v>69464.59</v>
      </c>
    </row>
    <row r="221" spans="1:14">
      <c r="A221" s="2" t="s">
        <v>76</v>
      </c>
      <c r="B221" s="3">
        <v>45748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 s="2">
        <v>11</v>
      </c>
      <c r="I221" s="2">
        <v>95.9</v>
      </c>
      <c r="J221" s="2">
        <v>3.1</v>
      </c>
      <c r="K221" s="2">
        <v>0</v>
      </c>
      <c r="L221" s="2">
        <v>3.9</v>
      </c>
      <c r="M221" s="2">
        <v>606278.30000000005</v>
      </c>
      <c r="N221" s="2">
        <v>102213.26</v>
      </c>
    </row>
    <row r="222" spans="1:14">
      <c r="A222" s="2" t="s">
        <v>77</v>
      </c>
      <c r="B222" s="3">
        <v>45658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 s="2">
        <v>18</v>
      </c>
      <c r="I222" s="2">
        <v>90.6</v>
      </c>
      <c r="J222" s="2">
        <v>6.34</v>
      </c>
      <c r="K222" s="2">
        <v>1</v>
      </c>
      <c r="L222" s="2">
        <v>3.8</v>
      </c>
      <c r="M222" s="2">
        <v>712219.81</v>
      </c>
      <c r="N222" s="2">
        <v>85906.54</v>
      </c>
    </row>
    <row r="223" spans="1:14">
      <c r="A223" s="2" t="s">
        <v>77</v>
      </c>
      <c r="B223" s="3">
        <v>45689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 s="2">
        <v>18</v>
      </c>
      <c r="I223" s="2">
        <v>90.2</v>
      </c>
      <c r="J223" s="2">
        <v>1.2</v>
      </c>
      <c r="K223" s="2">
        <v>0</v>
      </c>
      <c r="L223" s="2">
        <v>3.4</v>
      </c>
      <c r="M223" s="2">
        <v>672670.54</v>
      </c>
      <c r="N223" s="2">
        <v>132684.18</v>
      </c>
    </row>
    <row r="224" spans="1:14">
      <c r="A224" s="2" t="s">
        <v>77</v>
      </c>
      <c r="B224" s="3">
        <v>45717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 s="2">
        <v>19</v>
      </c>
      <c r="I224" s="2">
        <v>90.4</v>
      </c>
      <c r="J224" s="2">
        <v>4.5</v>
      </c>
      <c r="K224" s="2">
        <v>0</v>
      </c>
      <c r="L224" s="2">
        <v>3.3</v>
      </c>
      <c r="M224" s="2">
        <v>732667.92</v>
      </c>
      <c r="N224" s="2">
        <v>128654.46</v>
      </c>
    </row>
    <row r="225" spans="1:14">
      <c r="A225" s="2" t="s">
        <v>77</v>
      </c>
      <c r="B225" s="3">
        <v>45748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 s="2">
        <v>21</v>
      </c>
      <c r="I225" s="2">
        <v>84.4</v>
      </c>
      <c r="J225" s="2">
        <v>6.68</v>
      </c>
      <c r="K225" s="2">
        <v>0</v>
      </c>
      <c r="L225" s="2">
        <v>3.6</v>
      </c>
      <c r="M225" s="2">
        <v>723531.4</v>
      </c>
      <c r="N225" s="2">
        <v>108794.85</v>
      </c>
    </row>
    <row r="226" spans="1:14">
      <c r="A226" s="2" t="s">
        <v>78</v>
      </c>
      <c r="B226" s="3">
        <v>45658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 s="2">
        <v>15</v>
      </c>
      <c r="I226" s="2">
        <v>82.6</v>
      </c>
      <c r="J226" s="2">
        <v>4.07</v>
      </c>
      <c r="K226" s="2">
        <v>1</v>
      </c>
      <c r="L226" s="2">
        <v>3</v>
      </c>
      <c r="M226" s="2">
        <v>641564.6</v>
      </c>
      <c r="N226" s="2">
        <v>90468.96</v>
      </c>
    </row>
    <row r="227" spans="1:14">
      <c r="A227" s="2" t="s">
        <v>78</v>
      </c>
      <c r="B227" s="3">
        <v>45689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 s="2">
        <v>10</v>
      </c>
      <c r="I227" s="2">
        <v>79.5</v>
      </c>
      <c r="J227" s="2">
        <v>5.45</v>
      </c>
      <c r="K227" s="2">
        <v>0</v>
      </c>
      <c r="L227" s="2">
        <v>3.4</v>
      </c>
      <c r="M227" s="2">
        <v>536545.49</v>
      </c>
      <c r="N227" s="2">
        <v>97917.45</v>
      </c>
    </row>
    <row r="228" spans="1:14">
      <c r="A228" s="2" t="s">
        <v>78</v>
      </c>
      <c r="B228" s="3">
        <v>45717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 s="2">
        <v>12</v>
      </c>
      <c r="I228" s="2">
        <v>83.2</v>
      </c>
      <c r="J228" s="2">
        <v>15.58</v>
      </c>
      <c r="K228" s="2">
        <v>0</v>
      </c>
      <c r="L228" s="2">
        <v>3.3</v>
      </c>
      <c r="M228" s="2">
        <v>527681.56000000006</v>
      </c>
      <c r="N228" s="2">
        <v>63153.05</v>
      </c>
    </row>
    <row r="229" spans="1:14">
      <c r="A229" s="2" t="s">
        <v>78</v>
      </c>
      <c r="B229" s="3">
        <v>45748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 s="2">
        <v>5</v>
      </c>
      <c r="I229" s="2">
        <v>95</v>
      </c>
      <c r="J229" s="2">
        <v>5.32</v>
      </c>
      <c r="K229" s="2">
        <v>0</v>
      </c>
      <c r="L229" s="2"/>
      <c r="M229" s="2">
        <v>529598.93999999994</v>
      </c>
      <c r="N229" s="2">
        <v>84334.33</v>
      </c>
    </row>
    <row r="230" spans="1:14">
      <c r="A230" s="2" t="s">
        <v>79</v>
      </c>
      <c r="B230" s="3">
        <v>45658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 s="2">
        <v>12</v>
      </c>
      <c r="I230" s="2">
        <v>85.9</v>
      </c>
      <c r="J230" s="2">
        <v>0.37</v>
      </c>
      <c r="K230" s="2">
        <v>0</v>
      </c>
      <c r="L230" s="2">
        <v>3.8</v>
      </c>
      <c r="M230" s="2">
        <v>570963.31000000006</v>
      </c>
      <c r="N230" s="2">
        <v>87342.25</v>
      </c>
    </row>
    <row r="231" spans="1:14">
      <c r="A231" s="2" t="s">
        <v>79</v>
      </c>
      <c r="B231" s="3">
        <v>45689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 s="2">
        <v>24</v>
      </c>
      <c r="I231" s="2">
        <v>86.2</v>
      </c>
      <c r="J231" s="2">
        <v>21.63</v>
      </c>
      <c r="K231" s="2">
        <v>0</v>
      </c>
      <c r="L231" s="2">
        <v>4</v>
      </c>
      <c r="M231" s="2">
        <v>870937.4</v>
      </c>
      <c r="N231" s="2">
        <v>175282.74</v>
      </c>
    </row>
    <row r="232" spans="1:14">
      <c r="A232" s="2" t="s">
        <v>79</v>
      </c>
      <c r="B232" s="3">
        <v>45717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 s="2">
        <v>15</v>
      </c>
      <c r="I232" s="2">
        <v>84.4</v>
      </c>
      <c r="J232" s="2">
        <v>2.48</v>
      </c>
      <c r="K232" s="2">
        <v>0</v>
      </c>
      <c r="L232" s="2">
        <v>3.9</v>
      </c>
      <c r="M232" s="2">
        <v>596969.27</v>
      </c>
      <c r="N232" s="2">
        <v>105669.51</v>
      </c>
    </row>
    <row r="233" spans="1:14">
      <c r="A233" s="2" t="s">
        <v>79</v>
      </c>
      <c r="B233" s="3">
        <v>45748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 s="2">
        <v>11</v>
      </c>
      <c r="I233" s="2">
        <v>95.4</v>
      </c>
      <c r="J233" s="2"/>
      <c r="K233" s="2">
        <v>0</v>
      </c>
      <c r="L233" s="2">
        <v>3.7</v>
      </c>
      <c r="M233" s="2">
        <v>647512.85</v>
      </c>
      <c r="N233" s="2">
        <v>153835.57</v>
      </c>
    </row>
    <row r="234" spans="1:14">
      <c r="A234" s="2" t="s">
        <v>80</v>
      </c>
      <c r="B234" s="3">
        <v>45658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 s="2">
        <v>13</v>
      </c>
      <c r="I234" s="2">
        <v>95.3</v>
      </c>
      <c r="J234" s="2">
        <v>0.85</v>
      </c>
      <c r="K234" s="2">
        <v>0</v>
      </c>
      <c r="L234" s="2">
        <v>4.3</v>
      </c>
      <c r="M234" s="2">
        <v>658072.14</v>
      </c>
      <c r="N234" s="2">
        <v>110595.89</v>
      </c>
    </row>
    <row r="235" spans="1:14">
      <c r="A235" s="2" t="s">
        <v>80</v>
      </c>
      <c r="B235" s="3">
        <v>45689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 s="2">
        <v>17</v>
      </c>
      <c r="I235" s="2">
        <v>89.2</v>
      </c>
      <c r="J235" s="2">
        <v>2.13</v>
      </c>
      <c r="K235" s="2">
        <v>0</v>
      </c>
      <c r="L235" s="2">
        <v>4</v>
      </c>
      <c r="M235" s="2">
        <v>723305.11</v>
      </c>
      <c r="N235" s="2">
        <v>128468.7</v>
      </c>
    </row>
    <row r="236" spans="1:14">
      <c r="A236" s="2" t="s">
        <v>80</v>
      </c>
      <c r="B236" s="3">
        <v>45717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 s="2">
        <v>16</v>
      </c>
      <c r="I236" s="2">
        <v>81.2</v>
      </c>
      <c r="J236" s="2">
        <v>1.46</v>
      </c>
      <c r="K236" s="2">
        <v>0</v>
      </c>
      <c r="L236" s="2">
        <v>4.5</v>
      </c>
      <c r="M236" s="2">
        <v>640666.53</v>
      </c>
      <c r="N236" s="2">
        <v>134919.16</v>
      </c>
    </row>
    <row r="237" spans="1:14">
      <c r="A237" s="2" t="s">
        <v>80</v>
      </c>
      <c r="B237" s="3">
        <v>45748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 s="2">
        <v>17</v>
      </c>
      <c r="I237" s="2">
        <v>92.2</v>
      </c>
      <c r="J237" s="2">
        <v>3.02</v>
      </c>
      <c r="K237" s="2">
        <v>0</v>
      </c>
      <c r="L237" s="2">
        <v>4.0999999999999996</v>
      </c>
      <c r="M237" s="2">
        <v>670629.48</v>
      </c>
      <c r="N237" s="2">
        <v>100140.8</v>
      </c>
    </row>
    <row r="238" spans="1:14">
      <c r="A238" s="2" t="s">
        <v>81</v>
      </c>
      <c r="B238" s="3">
        <v>45658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 s="2">
        <v>22</v>
      </c>
      <c r="I238" s="2">
        <v>89.4</v>
      </c>
      <c r="J238" s="2">
        <v>3.22</v>
      </c>
      <c r="K238" s="2">
        <v>0</v>
      </c>
      <c r="L238" s="2">
        <v>3.7</v>
      </c>
      <c r="M238" s="2">
        <v>721079.35</v>
      </c>
      <c r="N238" s="2">
        <v>115295.05</v>
      </c>
    </row>
    <row r="239" spans="1:14">
      <c r="A239" s="2" t="s">
        <v>81</v>
      </c>
      <c r="B239" s="3">
        <v>45689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 s="2">
        <v>22</v>
      </c>
      <c r="I239" s="2">
        <v>89.1</v>
      </c>
      <c r="J239" s="2">
        <v>15.66</v>
      </c>
      <c r="K239" s="2">
        <v>0</v>
      </c>
      <c r="L239" s="2">
        <v>3.4</v>
      </c>
      <c r="M239" s="2">
        <v>810355.02</v>
      </c>
      <c r="N239" s="2">
        <v>131510</v>
      </c>
    </row>
    <row r="240" spans="1:14">
      <c r="A240" s="2" t="s">
        <v>81</v>
      </c>
      <c r="B240" s="3">
        <v>45717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 s="2">
        <v>23</v>
      </c>
      <c r="I240" s="2">
        <v>80.900000000000006</v>
      </c>
      <c r="J240" s="2">
        <v>6.96</v>
      </c>
      <c r="K240" s="2">
        <v>0</v>
      </c>
      <c r="L240" s="2">
        <v>3.2</v>
      </c>
      <c r="M240" s="2">
        <v>761919.25</v>
      </c>
      <c r="N240" s="2">
        <v>111893.06</v>
      </c>
    </row>
    <row r="241" spans="1:14">
      <c r="A241" s="2" t="s">
        <v>81</v>
      </c>
      <c r="B241" s="3">
        <v>45748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 s="2">
        <v>21</v>
      </c>
      <c r="I241" s="2">
        <v>83.7</v>
      </c>
      <c r="J241" s="2">
        <v>4.62</v>
      </c>
      <c r="K241" s="2">
        <v>0</v>
      </c>
      <c r="L241" s="2">
        <v>3.3</v>
      </c>
      <c r="M241" s="2">
        <v>737070.18</v>
      </c>
      <c r="N241" s="2">
        <v>117593.97</v>
      </c>
    </row>
    <row r="242" spans="1:14">
      <c r="A242" s="2" t="s">
        <v>82</v>
      </c>
      <c r="B242" s="3">
        <v>45658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 s="2">
        <v>22</v>
      </c>
      <c r="I242" s="2">
        <v>85.6</v>
      </c>
      <c r="J242" s="2">
        <v>10.68</v>
      </c>
      <c r="K242" s="2">
        <v>1</v>
      </c>
      <c r="L242" s="2">
        <v>2.9</v>
      </c>
      <c r="M242" s="2">
        <v>776992.93</v>
      </c>
      <c r="N242" s="2">
        <v>101598.32</v>
      </c>
    </row>
    <row r="243" spans="1:14">
      <c r="A243" s="2" t="s">
        <v>82</v>
      </c>
      <c r="B243" s="3">
        <v>45689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 s="2">
        <v>13</v>
      </c>
      <c r="I243" s="2">
        <v>85.5</v>
      </c>
      <c r="J243" s="2">
        <v>4.04</v>
      </c>
      <c r="K243" s="2">
        <v>0</v>
      </c>
      <c r="L243" s="2">
        <v>3.7</v>
      </c>
      <c r="M243" s="2">
        <v>676337.41</v>
      </c>
      <c r="N243" s="2">
        <v>104355.77</v>
      </c>
    </row>
    <row r="244" spans="1:14">
      <c r="A244" s="2" t="s">
        <v>82</v>
      </c>
      <c r="B244" s="3">
        <v>45717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 s="2">
        <v>24</v>
      </c>
      <c r="I244" s="2">
        <v>84.8</v>
      </c>
      <c r="J244" s="2">
        <v>1.87</v>
      </c>
      <c r="K244" s="2">
        <v>0</v>
      </c>
      <c r="L244" s="2">
        <v>3.5</v>
      </c>
      <c r="M244" s="2">
        <v>828219.67</v>
      </c>
      <c r="N244" s="2">
        <v>179806.87</v>
      </c>
    </row>
    <row r="245" spans="1:14">
      <c r="A245" s="2" t="s">
        <v>82</v>
      </c>
      <c r="B245" s="3">
        <v>45748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 s="2">
        <v>21</v>
      </c>
      <c r="I245" s="2">
        <v>95.2</v>
      </c>
      <c r="J245" s="2">
        <v>2.83</v>
      </c>
      <c r="K245" s="2">
        <v>0</v>
      </c>
      <c r="L245" s="2">
        <v>3</v>
      </c>
      <c r="M245" s="2">
        <v>763159.92</v>
      </c>
      <c r="N245" s="2">
        <v>177104.87</v>
      </c>
    </row>
    <row r="246" spans="1:14">
      <c r="A246" s="2" t="s">
        <v>83</v>
      </c>
      <c r="B246" s="3">
        <v>45658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 s="2">
        <v>20</v>
      </c>
      <c r="I246" s="2">
        <v>91</v>
      </c>
      <c r="J246" s="2">
        <v>0.95</v>
      </c>
      <c r="K246" s="2">
        <v>0</v>
      </c>
      <c r="L246" s="2">
        <v>3.2</v>
      </c>
      <c r="M246" s="2">
        <v>802001.68</v>
      </c>
      <c r="N246" s="2">
        <v>159715.82</v>
      </c>
    </row>
    <row r="247" spans="1:14">
      <c r="A247" s="2" t="s">
        <v>83</v>
      </c>
      <c r="B247" s="3">
        <v>45689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 s="2">
        <v>20</v>
      </c>
      <c r="I247" s="2">
        <v>89.9</v>
      </c>
      <c r="J247" s="2">
        <v>0.8</v>
      </c>
      <c r="K247" s="2">
        <v>0</v>
      </c>
      <c r="L247" s="2">
        <v>3.4</v>
      </c>
      <c r="M247" s="2">
        <v>750471.34</v>
      </c>
      <c r="N247" s="2">
        <v>133788.04</v>
      </c>
    </row>
    <row r="248" spans="1:14">
      <c r="A248" s="2" t="s">
        <v>83</v>
      </c>
      <c r="B248" s="3">
        <v>45717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 s="2">
        <v>21</v>
      </c>
      <c r="I248" s="2">
        <v>91.8</v>
      </c>
      <c r="J248" s="2">
        <v>0.2</v>
      </c>
      <c r="K248" s="2">
        <v>0</v>
      </c>
      <c r="L248" s="2">
        <v>3.1</v>
      </c>
      <c r="M248" s="2">
        <v>679230.86</v>
      </c>
      <c r="N248" s="2">
        <v>106927.58</v>
      </c>
    </row>
    <row r="249" spans="1:14">
      <c r="A249" s="2" t="s">
        <v>83</v>
      </c>
      <c r="B249" s="3">
        <v>45748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 s="2">
        <v>20</v>
      </c>
      <c r="I249" s="2">
        <v>90.4</v>
      </c>
      <c r="J249" s="2">
        <v>1.7</v>
      </c>
      <c r="K249" s="2">
        <v>0</v>
      </c>
      <c r="L249" s="2">
        <v>3.3</v>
      </c>
      <c r="M249" s="2">
        <v>679888.74</v>
      </c>
      <c r="N249" s="2">
        <v>83406.89</v>
      </c>
    </row>
    <row r="250" spans="1:14">
      <c r="A250" s="2" t="s">
        <v>84</v>
      </c>
      <c r="B250" s="3">
        <v>45658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 s="2">
        <v>10</v>
      </c>
      <c r="I250" s="2">
        <v>96.1</v>
      </c>
      <c r="J250" s="2"/>
      <c r="K250" s="2">
        <v>0</v>
      </c>
      <c r="L250" s="2">
        <v>3.8</v>
      </c>
      <c r="M250" s="2">
        <v>606783.67000000004</v>
      </c>
      <c r="N250" s="2">
        <v>74515.87</v>
      </c>
    </row>
    <row r="251" spans="1:14">
      <c r="A251" s="2" t="s">
        <v>84</v>
      </c>
      <c r="B251" s="3">
        <v>45689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 s="2">
        <v>17</v>
      </c>
      <c r="I251" s="2">
        <v>81.8</v>
      </c>
      <c r="J251" s="2">
        <v>5.0999999999999996</v>
      </c>
      <c r="K251" s="2">
        <v>0</v>
      </c>
      <c r="L251" s="2">
        <v>3.6</v>
      </c>
      <c r="M251" s="2">
        <v>642751.42000000004</v>
      </c>
      <c r="N251" s="2">
        <v>131942.15</v>
      </c>
    </row>
    <row r="252" spans="1:14">
      <c r="A252" s="2" t="s">
        <v>84</v>
      </c>
      <c r="B252" s="3">
        <v>45717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 s="2">
        <v>15</v>
      </c>
      <c r="I252" s="2">
        <v>88.4</v>
      </c>
      <c r="J252" s="2">
        <v>0.83</v>
      </c>
      <c r="K252" s="2">
        <v>0</v>
      </c>
      <c r="L252" s="2">
        <v>4</v>
      </c>
      <c r="M252" s="2">
        <v>647953.78</v>
      </c>
      <c r="N252" s="2">
        <v>118497.43</v>
      </c>
    </row>
    <row r="253" spans="1:14">
      <c r="A253" s="2" t="s">
        <v>84</v>
      </c>
      <c r="B253" s="3">
        <v>45748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 s="2">
        <v>14</v>
      </c>
      <c r="I253" s="2">
        <v>79.2</v>
      </c>
      <c r="J253" s="2">
        <v>1.1399999999999999</v>
      </c>
      <c r="K253" s="2">
        <v>0</v>
      </c>
      <c r="L253" s="2">
        <v>4</v>
      </c>
      <c r="M253" s="2">
        <v>729440.45</v>
      </c>
      <c r="N253" s="2">
        <v>87614.29</v>
      </c>
    </row>
    <row r="254" spans="1:14">
      <c r="A254" s="2" t="s">
        <v>85</v>
      </c>
      <c r="B254" s="3">
        <v>45658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 s="2">
        <v>16</v>
      </c>
      <c r="I254" s="2">
        <v>99</v>
      </c>
      <c r="J254" s="2">
        <v>9.5399999999999991</v>
      </c>
      <c r="K254" s="2">
        <v>0</v>
      </c>
      <c r="L254" s="2">
        <v>3.7</v>
      </c>
      <c r="M254" s="2">
        <v>764949</v>
      </c>
      <c r="N254" s="2">
        <v>148322.43</v>
      </c>
    </row>
    <row r="255" spans="1:14">
      <c r="A255" s="2" t="s">
        <v>85</v>
      </c>
      <c r="B255" s="3">
        <v>45689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 s="2">
        <v>17</v>
      </c>
      <c r="I255" s="2">
        <v>89.5</v>
      </c>
      <c r="J255" s="2">
        <v>5.48</v>
      </c>
      <c r="K255" s="2">
        <v>0</v>
      </c>
      <c r="L255" s="2">
        <v>3.2</v>
      </c>
      <c r="M255" s="2">
        <v>799046.94</v>
      </c>
      <c r="N255" s="2">
        <v>144553.64000000001</v>
      </c>
    </row>
    <row r="256" spans="1:14">
      <c r="A256" s="2" t="s">
        <v>85</v>
      </c>
      <c r="B256" s="3">
        <v>45717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 s="2">
        <v>13</v>
      </c>
      <c r="I256" s="2">
        <v>87.9</v>
      </c>
      <c r="J256" s="2">
        <v>0.84</v>
      </c>
      <c r="K256" s="2">
        <v>0</v>
      </c>
      <c r="L256" s="2">
        <v>3.6</v>
      </c>
      <c r="M256" s="2">
        <v>720079.54</v>
      </c>
      <c r="N256" s="2">
        <v>119499.47</v>
      </c>
    </row>
    <row r="257" spans="1:14">
      <c r="A257" s="2" t="s">
        <v>85</v>
      </c>
      <c r="B257" s="3">
        <v>45748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 s="2">
        <v>17</v>
      </c>
      <c r="I257" s="2">
        <v>88.3</v>
      </c>
      <c r="J257" s="2">
        <v>4.1900000000000004</v>
      </c>
      <c r="K257" s="2">
        <v>0</v>
      </c>
      <c r="L257" s="2">
        <v>4.0999999999999996</v>
      </c>
      <c r="M257" s="2">
        <v>612390.14</v>
      </c>
      <c r="N257" s="2">
        <v>108985.74</v>
      </c>
    </row>
    <row r="258" spans="1:14">
      <c r="A258" s="2" t="s">
        <v>86</v>
      </c>
      <c r="B258" s="3">
        <v>45658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 s="2">
        <v>19</v>
      </c>
      <c r="I258" s="2">
        <v>87.8</v>
      </c>
      <c r="J258" s="2">
        <v>1.26</v>
      </c>
      <c r="K258" s="2">
        <v>1</v>
      </c>
      <c r="L258" s="2">
        <v>4.3</v>
      </c>
      <c r="M258" s="2">
        <v>840108.12</v>
      </c>
      <c r="N258" s="2">
        <v>126587.01</v>
      </c>
    </row>
    <row r="259" spans="1:14">
      <c r="A259" s="2" t="s">
        <v>86</v>
      </c>
      <c r="B259" s="3">
        <v>45689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 s="2">
        <v>19</v>
      </c>
      <c r="I259" s="2">
        <v>82.7</v>
      </c>
      <c r="J259" s="2">
        <v>2.74</v>
      </c>
      <c r="K259" s="2">
        <v>0</v>
      </c>
      <c r="L259" s="2">
        <v>4.5999999999999996</v>
      </c>
      <c r="M259" s="2">
        <v>697888.09</v>
      </c>
      <c r="N259" s="2">
        <v>116249.87</v>
      </c>
    </row>
    <row r="260" spans="1:14">
      <c r="A260" s="2" t="s">
        <v>86</v>
      </c>
      <c r="B260" s="3">
        <v>45717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 s="2">
        <v>19</v>
      </c>
      <c r="I260" s="2">
        <v>87.5</v>
      </c>
      <c r="J260" s="2">
        <v>3.69</v>
      </c>
      <c r="K260" s="2">
        <v>0</v>
      </c>
      <c r="L260" s="2">
        <v>4.4000000000000004</v>
      </c>
      <c r="M260" s="2">
        <v>746115.59</v>
      </c>
      <c r="N260" s="2">
        <v>94662.96</v>
      </c>
    </row>
    <row r="261" spans="1:14">
      <c r="A261" s="2" t="s">
        <v>86</v>
      </c>
      <c r="B261" s="3">
        <v>45748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 s="2">
        <v>21</v>
      </c>
      <c r="I261" s="2">
        <v>92.2</v>
      </c>
      <c r="J261" s="2">
        <v>1.82</v>
      </c>
      <c r="K261" s="2">
        <v>0</v>
      </c>
      <c r="L261" s="2">
        <v>3.6</v>
      </c>
      <c r="M261" s="2">
        <v>776110.32</v>
      </c>
      <c r="N261" s="2">
        <v>139676.21</v>
      </c>
    </row>
    <row r="262" spans="1:14">
      <c r="A262" s="2" t="s">
        <v>87</v>
      </c>
      <c r="B262" s="3">
        <v>45658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 s="2">
        <v>10</v>
      </c>
      <c r="I262" s="2">
        <v>90.3</v>
      </c>
      <c r="J262" s="2">
        <v>6.62</v>
      </c>
      <c r="K262" s="2">
        <v>0</v>
      </c>
      <c r="L262" s="2">
        <v>4.2</v>
      </c>
      <c r="M262" s="2">
        <v>528852.62</v>
      </c>
      <c r="N262" s="2">
        <v>68426.210000000006</v>
      </c>
    </row>
    <row r="263" spans="1:14">
      <c r="A263" s="2" t="s">
        <v>87</v>
      </c>
      <c r="B263" s="3">
        <v>45689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 s="2">
        <v>13</v>
      </c>
      <c r="I263" s="2">
        <v>87.3</v>
      </c>
      <c r="J263" s="2"/>
      <c r="K263" s="2">
        <v>0</v>
      </c>
      <c r="L263" s="2">
        <v>4.2</v>
      </c>
      <c r="M263" s="2">
        <v>605751.32999999996</v>
      </c>
      <c r="N263" s="2">
        <v>60685.53</v>
      </c>
    </row>
    <row r="264" spans="1:14">
      <c r="A264" s="2" t="s">
        <v>87</v>
      </c>
      <c r="B264" s="3">
        <v>45717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 s="2">
        <v>11</v>
      </c>
      <c r="I264" s="2">
        <v>83.7</v>
      </c>
      <c r="J264" s="2">
        <v>6.92</v>
      </c>
      <c r="K264" s="2">
        <v>1</v>
      </c>
      <c r="L264" s="2">
        <v>4.2</v>
      </c>
      <c r="M264" s="2">
        <v>677640.65</v>
      </c>
      <c r="N264" s="2">
        <v>111610.89</v>
      </c>
    </row>
    <row r="265" spans="1:14">
      <c r="A265" s="2" t="s">
        <v>87</v>
      </c>
      <c r="B265" s="3">
        <v>45748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 s="2">
        <v>12</v>
      </c>
      <c r="I265" s="2">
        <v>93.8</v>
      </c>
      <c r="J265" s="2">
        <v>11.78</v>
      </c>
      <c r="K265" s="2">
        <v>0</v>
      </c>
      <c r="L265" s="2">
        <v>3.7</v>
      </c>
      <c r="M265" s="2">
        <v>636613.23</v>
      </c>
      <c r="N265" s="2">
        <v>78908.350000000006</v>
      </c>
    </row>
    <row r="266" spans="1:14">
      <c r="A266" s="2" t="s">
        <v>88</v>
      </c>
      <c r="B266" s="3">
        <v>45658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 s="2">
        <v>15</v>
      </c>
      <c r="I266" s="2">
        <v>95.8</v>
      </c>
      <c r="J266" s="2">
        <v>0.5</v>
      </c>
      <c r="K266" s="2">
        <v>0</v>
      </c>
      <c r="L266" s="2">
        <v>3.5</v>
      </c>
      <c r="M266" s="2">
        <v>708985.19</v>
      </c>
      <c r="N266" s="2">
        <v>125368.16</v>
      </c>
    </row>
    <row r="267" spans="1:14">
      <c r="A267" s="2" t="s">
        <v>88</v>
      </c>
      <c r="B267" s="3">
        <v>45689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 s="2">
        <v>20</v>
      </c>
      <c r="I267" s="2">
        <v>85.2</v>
      </c>
      <c r="J267" s="2">
        <v>0.88</v>
      </c>
      <c r="K267" s="2">
        <v>0</v>
      </c>
      <c r="L267" s="2">
        <v>3.7</v>
      </c>
      <c r="M267" s="2">
        <v>767792.94</v>
      </c>
      <c r="N267" s="2">
        <v>96235.77</v>
      </c>
    </row>
    <row r="268" spans="1:14">
      <c r="A268" s="2" t="s">
        <v>88</v>
      </c>
      <c r="B268" s="3">
        <v>45717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 s="2">
        <v>21</v>
      </c>
      <c r="I268" s="2">
        <v>88.3</v>
      </c>
      <c r="J268" s="2">
        <v>2.25</v>
      </c>
      <c r="K268" s="2">
        <v>0</v>
      </c>
      <c r="L268" s="2">
        <v>3.7</v>
      </c>
      <c r="M268" s="2">
        <v>745580.51</v>
      </c>
      <c r="N268" s="2">
        <v>116273.68</v>
      </c>
    </row>
    <row r="269" spans="1:14">
      <c r="A269" s="2" t="s">
        <v>88</v>
      </c>
      <c r="B269" s="3">
        <v>45748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 s="2">
        <v>15</v>
      </c>
      <c r="I269" s="2">
        <v>92.9</v>
      </c>
      <c r="J269" s="2">
        <v>0.28999999999999998</v>
      </c>
      <c r="K269" s="2">
        <v>0</v>
      </c>
      <c r="L269" s="2">
        <v>3.5</v>
      </c>
      <c r="M269" s="2">
        <v>762328.31</v>
      </c>
      <c r="N269" s="2">
        <v>159158.19</v>
      </c>
    </row>
    <row r="270" spans="1:14">
      <c r="A270" s="2" t="s">
        <v>89</v>
      </c>
      <c r="B270" s="3">
        <v>45658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 s="2">
        <v>16</v>
      </c>
      <c r="I270" s="2">
        <v>94.9</v>
      </c>
      <c r="J270" s="2">
        <v>0.65</v>
      </c>
      <c r="K270" s="2">
        <v>0</v>
      </c>
      <c r="L270" s="2">
        <v>3.6</v>
      </c>
      <c r="M270" s="2">
        <v>660633.99</v>
      </c>
      <c r="N270" s="2">
        <v>118768.66</v>
      </c>
    </row>
    <row r="271" spans="1:14">
      <c r="A271" s="2" t="s">
        <v>89</v>
      </c>
      <c r="B271" s="3">
        <v>45689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 s="2">
        <v>20</v>
      </c>
      <c r="I271" s="2">
        <v>89</v>
      </c>
      <c r="J271" s="2">
        <v>0.2</v>
      </c>
      <c r="K271" s="2">
        <v>0</v>
      </c>
      <c r="L271" s="2">
        <v>3.5</v>
      </c>
      <c r="M271" s="2">
        <v>739374.56</v>
      </c>
      <c r="N271" s="2">
        <v>121032.29</v>
      </c>
    </row>
    <row r="272" spans="1:14">
      <c r="A272" s="2" t="s">
        <v>89</v>
      </c>
      <c r="B272" s="3">
        <v>45717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 s="2">
        <v>21</v>
      </c>
      <c r="I272" s="2">
        <v>87.6</v>
      </c>
      <c r="J272" s="2">
        <v>3.63</v>
      </c>
      <c r="K272" s="2">
        <v>1</v>
      </c>
      <c r="L272" s="2">
        <v>3.8</v>
      </c>
      <c r="M272" s="2">
        <v>799756.46</v>
      </c>
      <c r="N272" s="2">
        <v>105052.93</v>
      </c>
    </row>
    <row r="273" spans="1:14">
      <c r="A273" s="2" t="s">
        <v>89</v>
      </c>
      <c r="B273" s="3">
        <v>45748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 s="2">
        <v>15</v>
      </c>
      <c r="I273" s="2">
        <v>86.2</v>
      </c>
      <c r="J273" s="2">
        <v>0.2</v>
      </c>
      <c r="K273" s="2">
        <v>0</v>
      </c>
      <c r="L273" s="2">
        <v>3.2</v>
      </c>
      <c r="M273" s="2">
        <v>593343</v>
      </c>
      <c r="N273" s="2">
        <v>82832.240000000005</v>
      </c>
    </row>
    <row r="274" spans="1:14">
      <c r="A274" s="2" t="s">
        <v>90</v>
      </c>
      <c r="B274" s="3">
        <v>45658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 s="2">
        <v>17</v>
      </c>
      <c r="I274" s="2">
        <v>85.6</v>
      </c>
      <c r="J274" s="2">
        <v>6.23</v>
      </c>
      <c r="K274" s="2">
        <v>0</v>
      </c>
      <c r="L274" s="2">
        <v>3.3</v>
      </c>
      <c r="M274" s="2">
        <v>645039.97</v>
      </c>
      <c r="N274" s="2">
        <v>83093.33</v>
      </c>
    </row>
    <row r="275" spans="1:14">
      <c r="A275" s="2" t="s">
        <v>90</v>
      </c>
      <c r="B275" s="3">
        <v>45689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 s="2">
        <v>14</v>
      </c>
      <c r="I275" s="2">
        <v>88.1</v>
      </c>
      <c r="J275" s="2">
        <v>1.04</v>
      </c>
      <c r="K275" s="2">
        <v>0</v>
      </c>
      <c r="L275" s="2">
        <v>3.1</v>
      </c>
      <c r="M275" s="2">
        <v>561597.32999999996</v>
      </c>
      <c r="N275" s="2">
        <v>75072.75</v>
      </c>
    </row>
    <row r="276" spans="1:14">
      <c r="A276" s="2" t="s">
        <v>90</v>
      </c>
      <c r="B276" s="3">
        <v>45717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 s="2">
        <v>17</v>
      </c>
      <c r="I276" s="2">
        <v>89.8</v>
      </c>
      <c r="J276" s="2">
        <v>1.76</v>
      </c>
      <c r="K276" s="2">
        <v>0</v>
      </c>
      <c r="L276" s="2">
        <v>3.1</v>
      </c>
      <c r="M276" s="2">
        <v>635837.74</v>
      </c>
      <c r="N276" s="2">
        <v>114740.64</v>
      </c>
    </row>
    <row r="277" spans="1:14">
      <c r="A277" s="2" t="s">
        <v>90</v>
      </c>
      <c r="B277" s="3">
        <v>45748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 s="2">
        <v>18</v>
      </c>
      <c r="I277" s="2">
        <v>77.599999999999994</v>
      </c>
      <c r="J277" s="2">
        <v>2.86</v>
      </c>
      <c r="K277" s="2">
        <v>0</v>
      </c>
      <c r="L277" s="2">
        <v>3</v>
      </c>
      <c r="M277" s="2">
        <v>686737.87</v>
      </c>
      <c r="N277" s="2">
        <v>83839.67</v>
      </c>
    </row>
    <row r="278" spans="1:14">
      <c r="A278" s="2" t="s">
        <v>91</v>
      </c>
      <c r="B278" s="3">
        <v>45658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 s="2">
        <v>17</v>
      </c>
      <c r="I278" s="2">
        <v>87.4</v>
      </c>
      <c r="J278" s="2">
        <v>18.14</v>
      </c>
      <c r="K278" s="2">
        <v>1</v>
      </c>
      <c r="L278" s="2">
        <v>3.4</v>
      </c>
      <c r="M278" s="2">
        <v>673076.34</v>
      </c>
      <c r="N278" s="2">
        <v>93899.76</v>
      </c>
    </row>
    <row r="279" spans="1:14">
      <c r="A279" s="2" t="s">
        <v>91</v>
      </c>
      <c r="B279" s="3">
        <v>45689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 s="2">
        <v>19</v>
      </c>
      <c r="I279" s="2">
        <v>88.7</v>
      </c>
      <c r="J279" s="2">
        <v>3.39</v>
      </c>
      <c r="K279" s="2">
        <v>0</v>
      </c>
      <c r="L279" s="2">
        <v>4</v>
      </c>
      <c r="M279" s="2">
        <v>738548.42</v>
      </c>
      <c r="N279" s="2">
        <v>134282.76999999999</v>
      </c>
    </row>
    <row r="280" spans="1:14">
      <c r="A280" s="2" t="s">
        <v>91</v>
      </c>
      <c r="B280" s="3">
        <v>45717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 s="2">
        <v>18</v>
      </c>
      <c r="I280" s="2">
        <v>86.5</v>
      </c>
      <c r="J280" s="2">
        <v>1.44</v>
      </c>
      <c r="K280" s="2">
        <v>0</v>
      </c>
      <c r="L280" s="2">
        <v>3.9</v>
      </c>
      <c r="M280" s="2">
        <v>756619.77</v>
      </c>
      <c r="N280" s="2">
        <v>112057.69</v>
      </c>
    </row>
    <row r="281" spans="1:14">
      <c r="A281" s="2" t="s">
        <v>91</v>
      </c>
      <c r="B281" s="3">
        <v>45748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 s="2">
        <v>23</v>
      </c>
      <c r="I281" s="2">
        <v>87</v>
      </c>
      <c r="J281" s="2">
        <v>3.65</v>
      </c>
      <c r="K281" s="2">
        <v>0</v>
      </c>
      <c r="L281" s="2">
        <v>3.7</v>
      </c>
      <c r="M281" s="2">
        <v>761122.42</v>
      </c>
      <c r="N281" s="2">
        <v>149802.04</v>
      </c>
    </row>
    <row r="282" spans="1:14">
      <c r="A282" s="2" t="s">
        <v>92</v>
      </c>
      <c r="B282" s="3">
        <v>45658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 s="2">
        <v>10</v>
      </c>
      <c r="I282" s="2">
        <v>83</v>
      </c>
      <c r="J282" s="2">
        <v>1.23</v>
      </c>
      <c r="K282" s="2">
        <v>1</v>
      </c>
      <c r="L282" s="2">
        <v>3.8</v>
      </c>
      <c r="M282" s="2">
        <v>524899.56999999995</v>
      </c>
      <c r="N282" s="2">
        <v>63619.98</v>
      </c>
    </row>
    <row r="283" spans="1:14">
      <c r="A283" s="2" t="s">
        <v>92</v>
      </c>
      <c r="B283" s="3">
        <v>45689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 s="2">
        <v>15</v>
      </c>
      <c r="I283" s="2">
        <v>87.9</v>
      </c>
      <c r="J283" s="2">
        <v>3.09</v>
      </c>
      <c r="K283" s="2">
        <v>0</v>
      </c>
      <c r="L283" s="2">
        <v>4</v>
      </c>
      <c r="M283" s="2">
        <v>555557.77</v>
      </c>
      <c r="N283" s="2">
        <v>86475.51</v>
      </c>
    </row>
    <row r="284" spans="1:14">
      <c r="A284" s="2" t="s">
        <v>92</v>
      </c>
      <c r="B284" s="3">
        <v>45717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 s="2">
        <v>17</v>
      </c>
      <c r="I284" s="2">
        <v>95.8</v>
      </c>
      <c r="J284" s="2">
        <v>3.15</v>
      </c>
      <c r="K284" s="2">
        <v>0</v>
      </c>
      <c r="L284" s="2">
        <v>4</v>
      </c>
      <c r="M284" s="2">
        <v>714083.68</v>
      </c>
      <c r="N284" s="2">
        <v>127231.74</v>
      </c>
    </row>
    <row r="285" spans="1:14">
      <c r="A285" s="2" t="s">
        <v>92</v>
      </c>
      <c r="B285" s="3">
        <v>45748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 s="2">
        <v>11</v>
      </c>
      <c r="I285" s="2">
        <v>80.900000000000006</v>
      </c>
      <c r="J285" s="2">
        <v>6.44</v>
      </c>
      <c r="K285" s="2">
        <v>0</v>
      </c>
      <c r="L285" s="2">
        <v>4.2</v>
      </c>
      <c r="M285" s="2">
        <v>497439.82</v>
      </c>
      <c r="N285" s="2">
        <v>93372.75</v>
      </c>
    </row>
    <row r="286" spans="1:14">
      <c r="A286" s="2" t="s">
        <v>93</v>
      </c>
      <c r="B286" s="3">
        <v>45658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 s="2">
        <v>13</v>
      </c>
      <c r="I286" s="2">
        <v>86.3</v>
      </c>
      <c r="J286" s="2">
        <v>0.2</v>
      </c>
      <c r="K286" s="2">
        <v>1</v>
      </c>
      <c r="L286" s="2">
        <v>4.5</v>
      </c>
      <c r="M286" s="2">
        <v>636775.66</v>
      </c>
      <c r="N286" s="2">
        <v>122636.86</v>
      </c>
    </row>
    <row r="287" spans="1:14">
      <c r="A287" s="2" t="s">
        <v>93</v>
      </c>
      <c r="B287" s="3">
        <v>45689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 s="2">
        <v>10</v>
      </c>
      <c r="I287" s="2">
        <v>90.4</v>
      </c>
      <c r="J287" s="2">
        <v>0.59</v>
      </c>
      <c r="K287" s="2">
        <v>0</v>
      </c>
      <c r="L287" s="2">
        <v>4.5</v>
      </c>
      <c r="M287" s="2">
        <v>633009.53</v>
      </c>
      <c r="N287" s="2">
        <v>123782.67</v>
      </c>
    </row>
    <row r="288" spans="1:14">
      <c r="A288" s="2" t="s">
        <v>93</v>
      </c>
      <c r="B288" s="3">
        <v>45717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 s="2">
        <v>11</v>
      </c>
      <c r="I288" s="2">
        <v>92</v>
      </c>
      <c r="J288" s="2">
        <v>0.2</v>
      </c>
      <c r="K288" s="2">
        <v>1</v>
      </c>
      <c r="L288" s="2">
        <v>4.2</v>
      </c>
      <c r="M288" s="2">
        <v>609949</v>
      </c>
      <c r="N288" s="2">
        <v>126789.25</v>
      </c>
    </row>
    <row r="289" spans="1:14">
      <c r="A289" s="2" t="s">
        <v>93</v>
      </c>
      <c r="B289" s="3">
        <v>45748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 s="2">
        <v>13</v>
      </c>
      <c r="I289" s="2">
        <v>82.4</v>
      </c>
      <c r="J289" s="2">
        <v>1.36</v>
      </c>
      <c r="K289" s="2">
        <v>0</v>
      </c>
      <c r="L289" s="2">
        <v>4.8</v>
      </c>
      <c r="M289" s="2">
        <v>548103.69999999995</v>
      </c>
      <c r="N289" s="2">
        <v>99905.52</v>
      </c>
    </row>
    <row r="290" spans="1:14">
      <c r="A290" s="2" t="s">
        <v>94</v>
      </c>
      <c r="B290" s="3">
        <v>45658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 s="2">
        <v>23</v>
      </c>
      <c r="I290" s="2">
        <v>72.900000000000006</v>
      </c>
      <c r="J290" s="2">
        <v>3.34</v>
      </c>
      <c r="K290" s="2">
        <v>0</v>
      </c>
      <c r="L290" s="2">
        <v>3.7</v>
      </c>
      <c r="M290" s="2">
        <v>729424.42</v>
      </c>
      <c r="N290" s="2">
        <v>75592.28</v>
      </c>
    </row>
    <row r="291" spans="1:14">
      <c r="A291" s="2" t="s">
        <v>94</v>
      </c>
      <c r="B291" s="3">
        <v>45689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 s="2">
        <v>22</v>
      </c>
      <c r="I291" s="2">
        <v>89</v>
      </c>
      <c r="J291" s="2">
        <v>0.33</v>
      </c>
      <c r="K291" s="2">
        <v>0</v>
      </c>
      <c r="L291" s="2">
        <v>4</v>
      </c>
      <c r="M291" s="2">
        <v>696261.49</v>
      </c>
      <c r="N291" s="2">
        <v>72455.350000000006</v>
      </c>
    </row>
    <row r="292" spans="1:14">
      <c r="A292" s="2" t="s">
        <v>94</v>
      </c>
      <c r="B292" s="3">
        <v>45717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 s="2">
        <v>21</v>
      </c>
      <c r="I292" s="2">
        <v>83.2</v>
      </c>
      <c r="J292" s="2">
        <v>3.44</v>
      </c>
      <c r="K292" s="2">
        <v>1</v>
      </c>
      <c r="L292" s="2">
        <v>4.3</v>
      </c>
      <c r="M292" s="2">
        <v>813316.71</v>
      </c>
      <c r="N292" s="2">
        <v>110077.42</v>
      </c>
    </row>
    <row r="293" spans="1:14">
      <c r="A293" s="2" t="s">
        <v>94</v>
      </c>
      <c r="B293" s="3">
        <v>45748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 s="2">
        <v>15</v>
      </c>
      <c r="I293" s="2">
        <v>97</v>
      </c>
      <c r="J293" s="2">
        <v>5.33</v>
      </c>
      <c r="K293" s="2">
        <v>0</v>
      </c>
      <c r="L293" s="2">
        <v>4.0999999999999996</v>
      </c>
      <c r="M293" s="2">
        <v>702068.92</v>
      </c>
      <c r="N293" s="2">
        <v>111266.63</v>
      </c>
    </row>
    <row r="294" spans="1:14">
      <c r="A294" s="2" t="s">
        <v>95</v>
      </c>
      <c r="B294" s="3">
        <v>45658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 s="2">
        <v>8</v>
      </c>
      <c r="I294" s="2">
        <v>86.7</v>
      </c>
      <c r="J294" s="2">
        <v>6.04</v>
      </c>
      <c r="K294" s="2">
        <v>0</v>
      </c>
      <c r="L294" s="2">
        <v>4.5</v>
      </c>
      <c r="M294" s="2">
        <v>546223.69999999995</v>
      </c>
      <c r="N294" s="2">
        <v>100769.17</v>
      </c>
    </row>
    <row r="295" spans="1:14">
      <c r="A295" s="2" t="s">
        <v>95</v>
      </c>
      <c r="B295" s="3">
        <v>45689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 s="2">
        <v>9</v>
      </c>
      <c r="I295" s="2">
        <v>88.7</v>
      </c>
      <c r="J295" s="2">
        <v>1.6</v>
      </c>
      <c r="K295" s="2">
        <v>0</v>
      </c>
      <c r="L295" s="2">
        <v>4.2</v>
      </c>
      <c r="M295" s="2">
        <v>533121.26</v>
      </c>
      <c r="N295" s="2">
        <v>55063.39</v>
      </c>
    </row>
    <row r="296" spans="1:14">
      <c r="A296" s="2" t="s">
        <v>95</v>
      </c>
      <c r="B296" s="3">
        <v>45717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 s="2">
        <v>10</v>
      </c>
      <c r="I296" s="2">
        <v>84.8</v>
      </c>
      <c r="J296" s="2">
        <v>8.9600000000000009</v>
      </c>
      <c r="K296" s="2">
        <v>0</v>
      </c>
      <c r="L296" s="2">
        <v>4.7</v>
      </c>
      <c r="M296" s="2">
        <v>498970.32</v>
      </c>
      <c r="N296" s="2">
        <v>69656.7</v>
      </c>
    </row>
    <row r="297" spans="1:14">
      <c r="A297" s="2" t="s">
        <v>95</v>
      </c>
      <c r="B297" s="3">
        <v>45748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 s="2">
        <v>9</v>
      </c>
      <c r="I297" s="2">
        <v>81</v>
      </c>
      <c r="J297" s="2">
        <v>0.74</v>
      </c>
      <c r="K297" s="2">
        <v>0</v>
      </c>
      <c r="L297" s="2">
        <v>4.5999999999999996</v>
      </c>
      <c r="M297" s="2">
        <v>487738.26</v>
      </c>
      <c r="N297" s="2">
        <v>96435.6</v>
      </c>
    </row>
    <row r="298" spans="1:14">
      <c r="A298" s="2" t="s">
        <v>96</v>
      </c>
      <c r="B298" s="3">
        <v>45658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 s="2">
        <v>12</v>
      </c>
      <c r="I298" s="2">
        <v>93.1</v>
      </c>
      <c r="J298" s="2">
        <v>6.13</v>
      </c>
      <c r="K298" s="2">
        <v>0</v>
      </c>
      <c r="L298" s="2">
        <v>3.3</v>
      </c>
      <c r="M298" s="2">
        <v>668459.37</v>
      </c>
      <c r="N298" s="2">
        <v>126435.42</v>
      </c>
    </row>
    <row r="299" spans="1:14">
      <c r="A299" s="2" t="s">
        <v>96</v>
      </c>
      <c r="B299" s="3">
        <v>45689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 s="2">
        <v>14</v>
      </c>
      <c r="I299" s="2">
        <v>96.2</v>
      </c>
      <c r="J299" s="2">
        <v>1.41</v>
      </c>
      <c r="K299" s="2">
        <v>0</v>
      </c>
      <c r="L299" s="2">
        <v>3.3</v>
      </c>
      <c r="M299" s="2">
        <v>763162.45</v>
      </c>
      <c r="N299" s="2">
        <v>162524.04999999999</v>
      </c>
    </row>
    <row r="300" spans="1:14">
      <c r="A300" s="2" t="s">
        <v>96</v>
      </c>
      <c r="B300" s="3">
        <v>45717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 s="2">
        <v>11</v>
      </c>
      <c r="I300" s="2">
        <v>91.7</v>
      </c>
      <c r="J300" s="2">
        <v>3.75</v>
      </c>
      <c r="K300" s="2">
        <v>0</v>
      </c>
      <c r="L300" s="2">
        <v>3.1</v>
      </c>
      <c r="M300" s="2">
        <v>599017.32999999996</v>
      </c>
      <c r="N300" s="2">
        <v>134009.92000000001</v>
      </c>
    </row>
    <row r="301" spans="1:14">
      <c r="A301" s="2" t="s">
        <v>96</v>
      </c>
      <c r="B301" s="3">
        <v>45748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 s="2">
        <v>6</v>
      </c>
      <c r="I301" s="2">
        <v>89.3</v>
      </c>
      <c r="J301" s="2">
        <v>15.06</v>
      </c>
      <c r="K301" s="2">
        <v>0</v>
      </c>
      <c r="L301" s="2">
        <v>3.2</v>
      </c>
      <c r="M301" s="2">
        <v>401582.58</v>
      </c>
      <c r="N301" s="2">
        <v>68454.929999999993</v>
      </c>
    </row>
    <row r="302" spans="1:14">
      <c r="A302" s="2" t="s">
        <v>97</v>
      </c>
      <c r="B302" s="3">
        <v>45658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 s="2">
        <v>22</v>
      </c>
      <c r="I302" s="2">
        <v>88.2</v>
      </c>
      <c r="J302" s="2">
        <v>5.07</v>
      </c>
      <c r="K302" s="2">
        <v>1</v>
      </c>
      <c r="L302" s="2">
        <v>4.0999999999999996</v>
      </c>
      <c r="M302" s="2">
        <v>703812.99</v>
      </c>
      <c r="N302" s="2">
        <v>133577.98000000001</v>
      </c>
    </row>
    <row r="303" spans="1:14">
      <c r="A303" s="2" t="s">
        <v>97</v>
      </c>
      <c r="B303" s="3">
        <v>45689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 s="2">
        <v>20</v>
      </c>
      <c r="I303" s="2">
        <v>83.3</v>
      </c>
      <c r="J303" s="2">
        <v>3.6</v>
      </c>
      <c r="K303" s="2">
        <v>0</v>
      </c>
      <c r="L303" s="2">
        <v>3.7</v>
      </c>
      <c r="M303" s="2">
        <v>724346.73</v>
      </c>
      <c r="N303" s="2">
        <v>155013.91</v>
      </c>
    </row>
    <row r="304" spans="1:14">
      <c r="A304" s="2" t="s">
        <v>97</v>
      </c>
      <c r="B304" s="3">
        <v>45717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 s="2">
        <v>19</v>
      </c>
      <c r="I304" s="2">
        <v>87.3</v>
      </c>
      <c r="J304" s="2">
        <v>4.3899999999999997</v>
      </c>
      <c r="K304" s="2">
        <v>1</v>
      </c>
      <c r="L304" s="2">
        <v>4.7</v>
      </c>
      <c r="M304" s="2">
        <v>730890.01</v>
      </c>
      <c r="N304" s="2">
        <v>105502.56</v>
      </c>
    </row>
    <row r="305" spans="1:14">
      <c r="A305" s="2" t="s">
        <v>97</v>
      </c>
      <c r="B305" s="3">
        <v>45748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 s="2">
        <v>18</v>
      </c>
      <c r="I305" s="2">
        <v>93</v>
      </c>
      <c r="J305" s="2">
        <v>2.79</v>
      </c>
      <c r="K305" s="2">
        <v>0</v>
      </c>
      <c r="L305" s="2">
        <v>4.2</v>
      </c>
      <c r="M305" s="2">
        <v>780580.95</v>
      </c>
      <c r="N305" s="2">
        <v>138144.46</v>
      </c>
    </row>
    <row r="306" spans="1:14">
      <c r="A306" s="2" t="s">
        <v>98</v>
      </c>
      <c r="B306" s="3">
        <v>45658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 s="2">
        <v>14</v>
      </c>
      <c r="I306" s="2">
        <v>94.5</v>
      </c>
      <c r="J306" s="2">
        <v>1.56</v>
      </c>
      <c r="K306" s="2">
        <v>0</v>
      </c>
      <c r="L306" s="2">
        <v>4</v>
      </c>
      <c r="M306" s="2">
        <v>727957.48</v>
      </c>
      <c r="N306" s="2">
        <v>74805.23</v>
      </c>
    </row>
    <row r="307" spans="1:14">
      <c r="A307" s="2" t="s">
        <v>98</v>
      </c>
      <c r="B307" s="3">
        <v>45689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 s="2">
        <v>16</v>
      </c>
      <c r="I307" s="2">
        <v>86.9</v>
      </c>
      <c r="J307" s="2">
        <v>15.82</v>
      </c>
      <c r="K307" s="2">
        <v>0</v>
      </c>
      <c r="L307" s="2">
        <v>3.8</v>
      </c>
      <c r="M307" s="2">
        <v>538376</v>
      </c>
      <c r="N307" s="2">
        <v>87605.62</v>
      </c>
    </row>
    <row r="308" spans="1:14">
      <c r="A308" s="2" t="s">
        <v>98</v>
      </c>
      <c r="B308" s="3">
        <v>45717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 s="2">
        <v>14</v>
      </c>
      <c r="I308" s="2">
        <v>85.9</v>
      </c>
      <c r="J308" s="2">
        <v>1.17</v>
      </c>
      <c r="K308" s="2">
        <v>1</v>
      </c>
      <c r="L308" s="2">
        <v>3.7</v>
      </c>
      <c r="M308" s="2">
        <v>665342.49</v>
      </c>
      <c r="N308" s="2">
        <v>93441.81</v>
      </c>
    </row>
    <row r="309" spans="1:14">
      <c r="A309" s="2" t="s">
        <v>98</v>
      </c>
      <c r="B309" s="3">
        <v>45748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 s="2">
        <v>16</v>
      </c>
      <c r="I309" s="2">
        <v>99</v>
      </c>
      <c r="J309" s="2">
        <v>3.82</v>
      </c>
      <c r="K309" s="2">
        <v>0</v>
      </c>
      <c r="L309" s="2">
        <v>3.5</v>
      </c>
      <c r="M309" s="2">
        <v>651164.18000000005</v>
      </c>
      <c r="N309" s="2">
        <v>109466.5</v>
      </c>
    </row>
    <row r="310" spans="1:14">
      <c r="A310" s="2" t="s">
        <v>99</v>
      </c>
      <c r="B310" s="3">
        <v>45658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 s="2">
        <v>13</v>
      </c>
      <c r="I310" s="2">
        <v>87.5</v>
      </c>
      <c r="J310" s="2">
        <v>4.1399999999999997</v>
      </c>
      <c r="K310" s="2">
        <v>0</v>
      </c>
      <c r="L310" s="2">
        <v>4</v>
      </c>
      <c r="M310" s="2">
        <v>628538.30000000005</v>
      </c>
      <c r="N310" s="2">
        <v>112509.15</v>
      </c>
    </row>
    <row r="311" spans="1:14">
      <c r="A311" s="2" t="s">
        <v>99</v>
      </c>
      <c r="B311" s="3">
        <v>45689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 s="2">
        <v>14</v>
      </c>
      <c r="I311" s="2">
        <v>79.7</v>
      </c>
      <c r="J311" s="2">
        <v>1.1000000000000001</v>
      </c>
      <c r="K311" s="2">
        <v>0</v>
      </c>
      <c r="L311" s="2">
        <v>4.3</v>
      </c>
      <c r="M311" s="2">
        <v>536524.84</v>
      </c>
      <c r="N311" s="2">
        <v>92752.94</v>
      </c>
    </row>
    <row r="312" spans="1:14">
      <c r="A312" s="2" t="s">
        <v>99</v>
      </c>
      <c r="B312" s="3">
        <v>45717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 s="2">
        <v>13</v>
      </c>
      <c r="I312" s="2">
        <v>85.7</v>
      </c>
      <c r="J312" s="2">
        <v>10.6</v>
      </c>
      <c r="K312" s="2">
        <v>0</v>
      </c>
      <c r="L312" s="2">
        <v>4.2</v>
      </c>
      <c r="M312" s="2">
        <v>621677.30000000005</v>
      </c>
      <c r="N312" s="2">
        <v>105192.52</v>
      </c>
    </row>
    <row r="313" spans="1:14">
      <c r="A313" s="2" t="s">
        <v>99</v>
      </c>
      <c r="B313" s="3">
        <v>45748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 s="2">
        <v>20</v>
      </c>
      <c r="I313" s="2">
        <v>89</v>
      </c>
      <c r="J313" s="2">
        <v>0.9</v>
      </c>
      <c r="K313" s="2">
        <v>0</v>
      </c>
      <c r="L313" s="2"/>
      <c r="M313" s="2">
        <v>771129.07</v>
      </c>
      <c r="N313" s="2">
        <v>116851.13</v>
      </c>
    </row>
    <row r="314" spans="1:14">
      <c r="A314" s="2" t="s">
        <v>100</v>
      </c>
      <c r="B314" s="3">
        <v>45658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 s="2">
        <v>16</v>
      </c>
      <c r="I314" s="2">
        <v>85.5</v>
      </c>
      <c r="J314" s="2">
        <v>0.2</v>
      </c>
      <c r="K314" s="2">
        <v>0</v>
      </c>
      <c r="L314" s="2">
        <v>3.4</v>
      </c>
      <c r="M314" s="2">
        <v>702052.47</v>
      </c>
      <c r="N314" s="2">
        <v>121732.51</v>
      </c>
    </row>
    <row r="315" spans="1:14">
      <c r="A315" s="2" t="s">
        <v>100</v>
      </c>
      <c r="B315" s="3">
        <v>45689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 s="2">
        <v>18</v>
      </c>
      <c r="I315" s="2">
        <v>94.8</v>
      </c>
      <c r="J315" s="2">
        <v>4.67</v>
      </c>
      <c r="K315" s="2">
        <v>0</v>
      </c>
      <c r="L315" s="2"/>
      <c r="M315" s="2">
        <v>688368.46</v>
      </c>
      <c r="N315" s="2">
        <v>93588.42</v>
      </c>
    </row>
    <row r="316" spans="1:14">
      <c r="A316" s="2" t="s">
        <v>100</v>
      </c>
      <c r="B316" s="3">
        <v>45717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 s="2">
        <v>14</v>
      </c>
      <c r="I316" s="2">
        <v>98.2</v>
      </c>
      <c r="J316" s="2">
        <v>4.38</v>
      </c>
      <c r="K316" s="2">
        <v>1</v>
      </c>
      <c r="L316" s="2">
        <v>3.9</v>
      </c>
      <c r="M316" s="2">
        <v>712375.77</v>
      </c>
      <c r="N316" s="2">
        <v>104171.53</v>
      </c>
    </row>
    <row r="317" spans="1:14">
      <c r="A317" s="2" t="s">
        <v>100</v>
      </c>
      <c r="B317" s="3">
        <v>45748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 s="2">
        <v>20</v>
      </c>
      <c r="I317" s="2">
        <v>94.7</v>
      </c>
      <c r="J317" s="2">
        <v>4.4800000000000004</v>
      </c>
      <c r="K317" s="2">
        <v>0</v>
      </c>
      <c r="L317" s="2">
        <v>4.2</v>
      </c>
      <c r="M317" s="2">
        <v>844710.67</v>
      </c>
      <c r="N317" s="2">
        <v>137140.18</v>
      </c>
    </row>
    <row r="318" spans="1:14">
      <c r="A318" s="2" t="s">
        <v>101</v>
      </c>
      <c r="B318" s="3">
        <v>45658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 s="2">
        <v>15</v>
      </c>
      <c r="I318" s="2">
        <v>92.9</v>
      </c>
      <c r="J318" s="2">
        <v>1.02</v>
      </c>
      <c r="K318" s="2">
        <v>1</v>
      </c>
      <c r="L318" s="2">
        <v>4</v>
      </c>
      <c r="M318" s="2">
        <v>620264.19999999995</v>
      </c>
      <c r="N318" s="2">
        <v>91365.64</v>
      </c>
    </row>
    <row r="319" spans="1:14">
      <c r="A319" s="2" t="s">
        <v>101</v>
      </c>
      <c r="B319" s="3">
        <v>45689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 s="2">
        <v>11</v>
      </c>
      <c r="I319" s="2">
        <v>88</v>
      </c>
      <c r="J319" s="2">
        <v>0.2</v>
      </c>
      <c r="K319" s="2">
        <v>0</v>
      </c>
      <c r="L319" s="2">
        <v>3.8</v>
      </c>
      <c r="M319" s="2">
        <v>536845.42000000004</v>
      </c>
      <c r="N319" s="2">
        <v>107473.75</v>
      </c>
    </row>
    <row r="320" spans="1:14">
      <c r="A320" s="2" t="s">
        <v>101</v>
      </c>
      <c r="B320" s="3">
        <v>45717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 s="2">
        <v>20</v>
      </c>
      <c r="I320" s="2">
        <v>85.2</v>
      </c>
      <c r="J320" s="2">
        <v>4.8899999999999997</v>
      </c>
      <c r="K320" s="2">
        <v>1</v>
      </c>
      <c r="L320" s="2">
        <v>4.2</v>
      </c>
      <c r="M320" s="2">
        <v>726776.22</v>
      </c>
      <c r="N320" s="2">
        <v>90804.49</v>
      </c>
    </row>
    <row r="321" spans="1:14">
      <c r="A321" s="2" t="s">
        <v>101</v>
      </c>
      <c r="B321" s="3">
        <v>45748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 s="2">
        <v>17</v>
      </c>
      <c r="I321" s="2">
        <v>84.3</v>
      </c>
      <c r="J321" s="2">
        <v>11.82</v>
      </c>
      <c r="K321" s="2">
        <v>0</v>
      </c>
      <c r="L321" s="2">
        <v>4.0999999999999996</v>
      </c>
      <c r="M321" s="2">
        <v>559660.84</v>
      </c>
      <c r="N321" s="2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G23" sqref="G23"/>
    </sheetView>
  </sheetViews>
  <sheetFormatPr defaultRowHeight="15"/>
  <sheetData>
    <row r="1" spans="1:9">
      <c r="A1" t="s">
        <v>105</v>
      </c>
    </row>
    <row r="2" spans="1:9" ht="15.75" thickBot="1"/>
    <row r="3" spans="1:9">
      <c r="A3" s="11" t="s">
        <v>106</v>
      </c>
      <c r="B3" s="11"/>
    </row>
    <row r="4" spans="1:9">
      <c r="A4" s="8" t="s">
        <v>107</v>
      </c>
      <c r="B4" s="8">
        <v>0.40895561021322352</v>
      </c>
    </row>
    <row r="5" spans="1:9">
      <c r="A5" s="8" t="s">
        <v>108</v>
      </c>
      <c r="B5" s="8">
        <v>0.16724469112487</v>
      </c>
    </row>
    <row r="6" spans="1:9">
      <c r="A6" s="8" t="s">
        <v>109</v>
      </c>
      <c r="B6" s="8">
        <v>0.16462596373847024</v>
      </c>
    </row>
    <row r="7" spans="1:9">
      <c r="A7" s="8" t="s">
        <v>110</v>
      </c>
      <c r="B7" s="8">
        <v>94846.03383215853</v>
      </c>
    </row>
    <row r="8" spans="1:9" ht="15.75" thickBot="1">
      <c r="A8" s="9" t="s">
        <v>111</v>
      </c>
      <c r="B8" s="9">
        <v>320</v>
      </c>
    </row>
    <row r="10" spans="1:9" ht="15.75" thickBot="1">
      <c r="A10" t="s">
        <v>112</v>
      </c>
    </row>
    <row r="11" spans="1:9">
      <c r="A11" s="10"/>
      <c r="B11" s="10" t="s">
        <v>117</v>
      </c>
      <c r="C11" s="10" t="s">
        <v>118</v>
      </c>
      <c r="D11" s="10" t="s">
        <v>119</v>
      </c>
      <c r="E11" s="10" t="s">
        <v>120</v>
      </c>
      <c r="F11" s="10" t="s">
        <v>121</v>
      </c>
    </row>
    <row r="12" spans="1:9">
      <c r="A12" s="8" t="s">
        <v>113</v>
      </c>
      <c r="B12" s="8">
        <v>1</v>
      </c>
      <c r="C12" s="8">
        <v>574513714277.01416</v>
      </c>
      <c r="D12" s="8">
        <v>574513714277.01416</v>
      </c>
      <c r="E12" s="8">
        <v>63.864872683367629</v>
      </c>
      <c r="F12" s="8">
        <v>2.4800615101359619E-14</v>
      </c>
    </row>
    <row r="13" spans="1:9">
      <c r="A13" s="8" t="s">
        <v>114</v>
      </c>
      <c r="B13" s="8">
        <v>318</v>
      </c>
      <c r="C13" s="8">
        <v>2860654902513.7251</v>
      </c>
      <c r="D13" s="8">
        <v>8995770133.6909599</v>
      </c>
      <c r="E13" s="8"/>
      <c r="F13" s="8"/>
    </row>
    <row r="14" spans="1:9" ht="15.75" thickBot="1">
      <c r="A14" s="9" t="s">
        <v>115</v>
      </c>
      <c r="B14" s="9">
        <v>319</v>
      </c>
      <c r="C14" s="9">
        <v>3435168616790.7393</v>
      </c>
      <c r="D14" s="9"/>
      <c r="E14" s="9"/>
      <c r="F14" s="9"/>
    </row>
    <row r="15" spans="1:9" ht="15.75" thickBot="1"/>
    <row r="16" spans="1:9">
      <c r="A16" s="10"/>
      <c r="B16" s="10" t="s">
        <v>122</v>
      </c>
      <c r="C16" s="10" t="s">
        <v>110</v>
      </c>
      <c r="D16" s="10" t="s">
        <v>123</v>
      </c>
      <c r="E16" s="10" t="s">
        <v>124</v>
      </c>
      <c r="F16" s="10" t="s">
        <v>125</v>
      </c>
      <c r="G16" s="10" t="s">
        <v>126</v>
      </c>
      <c r="H16" s="10" t="s">
        <v>127</v>
      </c>
      <c r="I16" s="10" t="s">
        <v>128</v>
      </c>
    </row>
    <row r="17" spans="1:9">
      <c r="A17" s="8" t="s">
        <v>116</v>
      </c>
      <c r="B17" s="8">
        <v>560777.34544943704</v>
      </c>
      <c r="C17" s="8">
        <v>15906.905953068674</v>
      </c>
      <c r="D17" s="8">
        <v>35.253703460870398</v>
      </c>
      <c r="E17" s="8">
        <v>6.952876876284135E-112</v>
      </c>
      <c r="F17" s="8">
        <v>529481.27234763221</v>
      </c>
      <c r="G17" s="8">
        <v>592073.41855124186</v>
      </c>
      <c r="H17" s="8">
        <v>529481.27234763221</v>
      </c>
      <c r="I17" s="8">
        <v>592073.41855124186</v>
      </c>
    </row>
    <row r="18" spans="1:9" ht="15.75" thickBot="1">
      <c r="A18" s="9" t="s">
        <v>4</v>
      </c>
      <c r="B18" s="9">
        <v>2.1295753275898281</v>
      </c>
      <c r="C18" s="9">
        <v>0.26647838106932348</v>
      </c>
      <c r="D18" s="9">
        <v>7.991550080138869</v>
      </c>
      <c r="E18" s="9">
        <v>2.4800615101360068E-14</v>
      </c>
      <c r="F18" s="9">
        <v>1.6052919176921738</v>
      </c>
      <c r="G18" s="9">
        <v>2.6538587374874822</v>
      </c>
      <c r="H18" s="9">
        <v>1.6052919176921738</v>
      </c>
      <c r="I18" s="9">
        <v>2.6538587374874822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J22" sqref="J22"/>
    </sheetView>
  </sheetViews>
  <sheetFormatPr defaultRowHeight="15"/>
  <sheetData>
    <row r="1" spans="1:9">
      <c r="A1" t="s">
        <v>105</v>
      </c>
    </row>
    <row r="2" spans="1:9" ht="15.75" thickBot="1"/>
    <row r="3" spans="1:9">
      <c r="A3" s="11" t="s">
        <v>106</v>
      </c>
      <c r="B3" s="11"/>
    </row>
    <row r="4" spans="1:9">
      <c r="A4" s="8" t="s">
        <v>107</v>
      </c>
      <c r="B4" s="8">
        <v>0.85807070804410468</v>
      </c>
    </row>
    <row r="5" spans="1:9">
      <c r="A5" s="8" t="s">
        <v>108</v>
      </c>
      <c r="B5" s="8">
        <v>0.73628534000331114</v>
      </c>
    </row>
    <row r="6" spans="1:9">
      <c r="A6" s="8" t="s">
        <v>109</v>
      </c>
      <c r="B6" s="8">
        <v>0.73545604861967373</v>
      </c>
    </row>
    <row r="7" spans="1:9">
      <c r="A7" s="8" t="s">
        <v>110</v>
      </c>
      <c r="B7" s="8">
        <v>53373.736380790499</v>
      </c>
    </row>
    <row r="8" spans="1:9" ht="15.75" thickBot="1">
      <c r="A8" s="9" t="s">
        <v>111</v>
      </c>
      <c r="B8" s="9">
        <v>320</v>
      </c>
    </row>
    <row r="10" spans="1:9" ht="15.75" thickBot="1">
      <c r="A10" t="s">
        <v>112</v>
      </c>
    </row>
    <row r="11" spans="1:9">
      <c r="A11" s="10"/>
      <c r="B11" s="10" t="s">
        <v>117</v>
      </c>
      <c r="C11" s="10" t="s">
        <v>118</v>
      </c>
      <c r="D11" s="10" t="s">
        <v>119</v>
      </c>
      <c r="E11" s="10" t="s">
        <v>120</v>
      </c>
      <c r="F11" s="10" t="s">
        <v>121</v>
      </c>
    </row>
    <row r="12" spans="1:9">
      <c r="A12" s="8" t="s">
        <v>113</v>
      </c>
      <c r="B12" s="8">
        <v>1</v>
      </c>
      <c r="C12" s="8">
        <v>2529264292982.4736</v>
      </c>
      <c r="D12" s="8">
        <v>2529264292982.4736</v>
      </c>
      <c r="E12" s="8">
        <v>887.84877611276033</v>
      </c>
      <c r="F12" s="8">
        <v>4.7503615090053331E-94</v>
      </c>
    </row>
    <row r="13" spans="1:9">
      <c r="A13" s="8" t="s">
        <v>114</v>
      </c>
      <c r="B13" s="8">
        <v>318</v>
      </c>
      <c r="C13" s="8">
        <v>905904323808.26587</v>
      </c>
      <c r="D13" s="8">
        <v>2848755735.246119</v>
      </c>
      <c r="E13" s="8"/>
      <c r="F13" s="8"/>
    </row>
    <row r="14" spans="1:9" ht="15.75" thickBot="1">
      <c r="A14" s="9" t="s">
        <v>115</v>
      </c>
      <c r="B14" s="9">
        <v>319</v>
      </c>
      <c r="C14" s="9">
        <v>3435168616790.7393</v>
      </c>
      <c r="D14" s="9"/>
      <c r="E14" s="9"/>
      <c r="F14" s="9"/>
    </row>
    <row r="15" spans="1:9" ht="15.75" thickBot="1"/>
    <row r="16" spans="1:9">
      <c r="A16" s="10"/>
      <c r="B16" s="10" t="s">
        <v>122</v>
      </c>
      <c r="C16" s="10" t="s">
        <v>110</v>
      </c>
      <c r="D16" s="10" t="s">
        <v>123</v>
      </c>
      <c r="E16" s="10" t="s">
        <v>124</v>
      </c>
      <c r="F16" s="10" t="s">
        <v>125</v>
      </c>
      <c r="G16" s="10" t="s">
        <v>126</v>
      </c>
      <c r="H16" s="10" t="s">
        <v>127</v>
      </c>
      <c r="I16" s="10" t="s">
        <v>128</v>
      </c>
    </row>
    <row r="17" spans="1:9">
      <c r="A17" s="8" t="s">
        <v>116</v>
      </c>
      <c r="B17" s="8">
        <v>446410.58293395344</v>
      </c>
      <c r="C17" s="8">
        <v>8407.7382630059928</v>
      </c>
      <c r="D17" s="8">
        <v>53.095204556754318</v>
      </c>
      <c r="E17" s="8">
        <v>4.0862695711507226E-160</v>
      </c>
      <c r="F17" s="8">
        <v>429868.76191129786</v>
      </c>
      <c r="G17" s="8">
        <v>462952.40395660902</v>
      </c>
      <c r="H17" s="8">
        <v>429868.76191129786</v>
      </c>
      <c r="I17" s="8">
        <v>462952.40395660902</v>
      </c>
    </row>
    <row r="18" spans="1:9" ht="15.75" thickBot="1">
      <c r="A18" s="9" t="s">
        <v>5</v>
      </c>
      <c r="B18" s="9">
        <v>35.678031072640458</v>
      </c>
      <c r="C18" s="9">
        <v>1.1973782890340821</v>
      </c>
      <c r="D18" s="9">
        <v>29.796791372776362</v>
      </c>
      <c r="E18" s="9">
        <v>4.7503615090054677E-94</v>
      </c>
      <c r="F18" s="9">
        <v>33.322246825554025</v>
      </c>
      <c r="G18" s="9">
        <v>38.033815319726891</v>
      </c>
      <c r="H18" s="9">
        <v>33.322246825554025</v>
      </c>
      <c r="I18" s="9">
        <v>38.033815319726891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1"/>
  <sheetViews>
    <sheetView workbookViewId="0">
      <selection activeCell="F1" sqref="F1"/>
    </sheetView>
  </sheetViews>
  <sheetFormatPr defaultRowHeight="15"/>
  <sheetData>
    <row r="1" spans="1:14" ht="6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5" t="s">
        <v>14</v>
      </c>
      <c r="B2" s="6">
        <v>45658</v>
      </c>
      <c r="C2" s="5" t="s">
        <v>15</v>
      </c>
      <c r="D2" s="5" t="s">
        <v>16</v>
      </c>
      <c r="E2" s="5">
        <v>70389.11</v>
      </c>
      <c r="F2" s="5">
        <v>8302</v>
      </c>
      <c r="G2" s="5">
        <v>4.2000000000000003E-2</v>
      </c>
      <c r="H2" s="5">
        <v>17</v>
      </c>
      <c r="I2" s="5">
        <v>75</v>
      </c>
      <c r="J2" s="5">
        <v>5.28</v>
      </c>
      <c r="K2" s="5">
        <v>1</v>
      </c>
      <c r="L2" s="5">
        <v>3.1</v>
      </c>
      <c r="M2" s="5">
        <v>658832.62</v>
      </c>
      <c r="N2" s="5">
        <v>84349.93</v>
      </c>
    </row>
    <row r="3" spans="1:14">
      <c r="A3" s="5" t="s">
        <v>14</v>
      </c>
      <c r="B3" s="6">
        <v>45689</v>
      </c>
      <c r="C3" s="5" t="s">
        <v>15</v>
      </c>
      <c r="D3" s="5" t="s">
        <v>16</v>
      </c>
      <c r="E3" s="5">
        <v>43827.89</v>
      </c>
      <c r="F3" s="5">
        <v>8487</v>
      </c>
      <c r="G3" s="5">
        <v>0.16800000000000001</v>
      </c>
      <c r="H3" s="5">
        <v>23</v>
      </c>
      <c r="I3" s="5">
        <v>84.4</v>
      </c>
      <c r="J3" s="5">
        <v>4.3099999999999996</v>
      </c>
      <c r="K3" s="5">
        <v>0</v>
      </c>
      <c r="L3" s="5">
        <v>2.8</v>
      </c>
      <c r="M3" s="5">
        <v>634436</v>
      </c>
      <c r="N3" s="5">
        <v>106130.54</v>
      </c>
    </row>
    <row r="4" spans="1:14">
      <c r="A4" s="5" t="s">
        <v>14</v>
      </c>
      <c r="B4" s="6">
        <v>45717</v>
      </c>
      <c r="C4" s="5" t="s">
        <v>15</v>
      </c>
      <c r="D4" s="5" t="s">
        <v>16</v>
      </c>
      <c r="E4" s="5">
        <v>59921.75</v>
      </c>
      <c r="F4" s="5">
        <v>9113</v>
      </c>
      <c r="G4" s="5">
        <v>0.13300000000000001</v>
      </c>
      <c r="H4" s="5">
        <v>20</v>
      </c>
      <c r="I4" s="5">
        <v>88</v>
      </c>
      <c r="J4" s="5">
        <v>12</v>
      </c>
      <c r="K4" s="5">
        <v>0</v>
      </c>
      <c r="L4" s="5">
        <v>3.2</v>
      </c>
      <c r="M4" s="5">
        <v>678722.06</v>
      </c>
      <c r="N4" s="5">
        <v>101883.86</v>
      </c>
    </row>
    <row r="5" spans="1:14">
      <c r="A5" s="5" t="s">
        <v>14</v>
      </c>
      <c r="B5" s="6">
        <v>45748</v>
      </c>
      <c r="C5" s="5" t="s">
        <v>15</v>
      </c>
      <c r="D5" s="5" t="s">
        <v>16</v>
      </c>
      <c r="E5" s="5">
        <v>56856.63</v>
      </c>
      <c r="F5" s="5">
        <v>9431</v>
      </c>
      <c r="G5" s="5">
        <v>0.14199999999999999</v>
      </c>
      <c r="H5" s="5">
        <v>23</v>
      </c>
      <c r="I5" s="5">
        <v>86.9</v>
      </c>
      <c r="J5" s="5">
        <v>4.97</v>
      </c>
      <c r="K5" s="5">
        <v>0</v>
      </c>
      <c r="L5" s="5">
        <v>3.4</v>
      </c>
      <c r="M5" s="5">
        <v>658920.30000000005</v>
      </c>
      <c r="N5" s="5">
        <v>97910.37</v>
      </c>
    </row>
    <row r="6" spans="1:14">
      <c r="A6" s="5" t="s">
        <v>17</v>
      </c>
      <c r="B6" s="6">
        <v>45658</v>
      </c>
      <c r="C6" s="5" t="s">
        <v>15</v>
      </c>
      <c r="D6" s="5" t="s">
        <v>18</v>
      </c>
      <c r="E6" s="5">
        <v>48412.639999999999</v>
      </c>
      <c r="F6" s="5">
        <v>9545</v>
      </c>
      <c r="G6" s="5">
        <v>0.23100000000000001</v>
      </c>
      <c r="H6" s="5">
        <v>21</v>
      </c>
      <c r="I6" s="5">
        <v>97.6</v>
      </c>
      <c r="J6" s="5">
        <v>6.94</v>
      </c>
      <c r="K6" s="5">
        <v>1</v>
      </c>
      <c r="L6" s="5">
        <v>4.2</v>
      </c>
      <c r="M6" s="5">
        <v>741341.44</v>
      </c>
      <c r="N6" s="5">
        <v>119208.17</v>
      </c>
    </row>
    <row r="7" spans="1:14">
      <c r="A7" s="5" t="s">
        <v>17</v>
      </c>
      <c r="B7" s="6">
        <v>45689</v>
      </c>
      <c r="C7" s="5" t="s">
        <v>15</v>
      </c>
      <c r="D7" s="5" t="s">
        <v>18</v>
      </c>
      <c r="E7" s="5">
        <v>64811.21</v>
      </c>
      <c r="F7" s="5">
        <v>9792</v>
      </c>
      <c r="G7" s="5">
        <v>0.112</v>
      </c>
      <c r="H7" s="5">
        <v>20</v>
      </c>
      <c r="I7" s="5">
        <v>84.2</v>
      </c>
      <c r="J7" s="5">
        <v>2.88</v>
      </c>
      <c r="K7" s="5">
        <v>0</v>
      </c>
      <c r="L7" s="5">
        <v>4.2</v>
      </c>
      <c r="M7" s="5">
        <v>761835.34</v>
      </c>
      <c r="N7" s="5">
        <v>149602.23000000001</v>
      </c>
    </row>
    <row r="8" spans="1:14">
      <c r="A8" s="5" t="s">
        <v>17</v>
      </c>
      <c r="B8" s="6">
        <v>45717</v>
      </c>
      <c r="C8" s="5" t="s">
        <v>15</v>
      </c>
      <c r="D8" s="5" t="s">
        <v>18</v>
      </c>
      <c r="E8" s="5">
        <v>46213.45</v>
      </c>
      <c r="F8" s="5">
        <v>10616</v>
      </c>
      <c r="G8" s="5">
        <v>0.122</v>
      </c>
      <c r="H8" s="5">
        <v>22</v>
      </c>
      <c r="I8" s="5">
        <v>85.2</v>
      </c>
      <c r="J8" s="5">
        <v>0.2</v>
      </c>
      <c r="K8" s="5">
        <v>1</v>
      </c>
      <c r="L8" s="5">
        <v>4.0999999999999996</v>
      </c>
      <c r="M8" s="5">
        <v>806615.54</v>
      </c>
      <c r="N8" s="5">
        <v>131364.62</v>
      </c>
    </row>
    <row r="9" spans="1:14">
      <c r="A9" s="5" t="s">
        <v>17</v>
      </c>
      <c r="B9" s="6">
        <v>45748</v>
      </c>
      <c r="C9" s="5" t="s">
        <v>15</v>
      </c>
      <c r="D9" s="5" t="s">
        <v>18</v>
      </c>
      <c r="E9" s="5">
        <v>68148.52</v>
      </c>
      <c r="F9" s="5">
        <v>8567</v>
      </c>
      <c r="G9" s="5">
        <v>0.127</v>
      </c>
      <c r="H9" s="5">
        <v>23</v>
      </c>
      <c r="I9" s="5">
        <v>95.6</v>
      </c>
      <c r="J9" s="5">
        <v>0.8</v>
      </c>
      <c r="K9" s="5">
        <v>0</v>
      </c>
      <c r="L9" s="5">
        <v>3.9</v>
      </c>
      <c r="M9" s="5">
        <v>850164.26</v>
      </c>
      <c r="N9" s="5">
        <v>149262.75</v>
      </c>
    </row>
    <row r="10" spans="1:14">
      <c r="A10" s="5" t="s">
        <v>19</v>
      </c>
      <c r="B10" s="6">
        <v>45658</v>
      </c>
      <c r="C10" s="5" t="s">
        <v>20</v>
      </c>
      <c r="D10" s="5" t="s">
        <v>21</v>
      </c>
      <c r="E10" s="5">
        <v>71838.86</v>
      </c>
      <c r="F10" s="5">
        <v>10979</v>
      </c>
      <c r="G10" s="5">
        <v>0.215</v>
      </c>
      <c r="H10" s="5">
        <v>26</v>
      </c>
      <c r="I10" s="5">
        <v>88.6</v>
      </c>
      <c r="J10" s="5">
        <v>7.7</v>
      </c>
      <c r="K10" s="5">
        <v>1</v>
      </c>
      <c r="L10" s="5">
        <v>3.8</v>
      </c>
      <c r="M10" s="5">
        <v>930581.7</v>
      </c>
      <c r="N10" s="5">
        <v>136207.98000000001</v>
      </c>
    </row>
    <row r="11" spans="1:14">
      <c r="A11" s="5" t="s">
        <v>19</v>
      </c>
      <c r="B11" s="6">
        <v>45689</v>
      </c>
      <c r="C11" s="5" t="s">
        <v>20</v>
      </c>
      <c r="D11" s="5" t="s">
        <v>21</v>
      </c>
      <c r="E11" s="5">
        <v>68133.440000000002</v>
      </c>
      <c r="F11" s="5">
        <v>9459</v>
      </c>
      <c r="G11" s="5">
        <v>0.22</v>
      </c>
      <c r="H11" s="5">
        <v>21</v>
      </c>
      <c r="I11" s="5">
        <v>85</v>
      </c>
      <c r="J11" s="5">
        <v>1.91</v>
      </c>
      <c r="K11" s="5">
        <v>0</v>
      </c>
      <c r="L11" s="5">
        <v>4.2</v>
      </c>
      <c r="M11" s="5">
        <v>779010.94</v>
      </c>
      <c r="N11" s="5">
        <v>106328.09</v>
      </c>
    </row>
    <row r="12" spans="1:14">
      <c r="A12" s="5" t="s">
        <v>19</v>
      </c>
      <c r="B12" s="6">
        <v>45717</v>
      </c>
      <c r="C12" s="5" t="s">
        <v>20</v>
      </c>
      <c r="D12" s="5" t="s">
        <v>21</v>
      </c>
      <c r="E12" s="5">
        <v>34285.21</v>
      </c>
      <c r="F12" s="5">
        <v>9172</v>
      </c>
      <c r="G12" s="5">
        <v>0.21299999999999999</v>
      </c>
      <c r="H12" s="5">
        <v>22</v>
      </c>
      <c r="I12" s="5">
        <v>88.3</v>
      </c>
      <c r="J12" s="5">
        <v>10.46</v>
      </c>
      <c r="K12" s="5">
        <v>1</v>
      </c>
      <c r="L12" s="5">
        <v>3.8</v>
      </c>
      <c r="M12" s="5">
        <v>723060.76</v>
      </c>
      <c r="N12" s="5">
        <v>123131.24</v>
      </c>
    </row>
    <row r="13" spans="1:14">
      <c r="A13" s="5" t="s">
        <v>19</v>
      </c>
      <c r="B13" s="6">
        <v>45748</v>
      </c>
      <c r="C13" s="5" t="s">
        <v>20</v>
      </c>
      <c r="D13" s="5" t="s">
        <v>21</v>
      </c>
      <c r="E13" s="5">
        <v>67979.88</v>
      </c>
      <c r="F13" s="5">
        <v>11230</v>
      </c>
      <c r="G13" s="5">
        <v>2E-3</v>
      </c>
      <c r="H13" s="5">
        <v>28</v>
      </c>
      <c r="I13" s="5">
        <v>85.3</v>
      </c>
      <c r="J13" s="5">
        <v>7.16</v>
      </c>
      <c r="K13" s="5">
        <v>0</v>
      </c>
      <c r="L13" s="5">
        <v>3.8</v>
      </c>
      <c r="M13" s="5">
        <v>910791.94</v>
      </c>
      <c r="N13" s="5">
        <v>158891.28</v>
      </c>
    </row>
    <row r="14" spans="1:14">
      <c r="A14" s="5" t="s">
        <v>22</v>
      </c>
      <c r="B14" s="6">
        <v>45658</v>
      </c>
      <c r="C14" s="5" t="s">
        <v>15</v>
      </c>
      <c r="D14" s="5" t="s">
        <v>16</v>
      </c>
      <c r="E14" s="5">
        <v>71828.259999999995</v>
      </c>
      <c r="F14" s="5">
        <v>12775</v>
      </c>
      <c r="G14" s="5">
        <v>0.11600000000000001</v>
      </c>
      <c r="H14" s="5">
        <v>30</v>
      </c>
      <c r="I14" s="5">
        <v>81.7</v>
      </c>
      <c r="J14" s="5">
        <v>4.24</v>
      </c>
      <c r="K14" s="5">
        <v>1</v>
      </c>
      <c r="L14" s="5">
        <v>4.2</v>
      </c>
      <c r="M14" s="5">
        <v>922168.6</v>
      </c>
      <c r="N14" s="5">
        <v>107494.53</v>
      </c>
    </row>
    <row r="15" spans="1:14">
      <c r="A15" s="5" t="s">
        <v>22</v>
      </c>
      <c r="B15" s="6">
        <v>45689</v>
      </c>
      <c r="C15" s="5" t="s">
        <v>15</v>
      </c>
      <c r="D15" s="5" t="s">
        <v>16</v>
      </c>
      <c r="E15" s="5">
        <v>55716.82</v>
      </c>
      <c r="F15" s="5">
        <v>10054</v>
      </c>
      <c r="G15" s="5">
        <v>0.14599999999999999</v>
      </c>
      <c r="H15" s="5">
        <v>24</v>
      </c>
      <c r="I15" s="5">
        <v>84.9</v>
      </c>
      <c r="J15" s="5">
        <v>1.06</v>
      </c>
      <c r="K15" s="5">
        <v>0</v>
      </c>
      <c r="L15" s="5">
        <v>4.3</v>
      </c>
      <c r="M15" s="5">
        <v>726606.28</v>
      </c>
      <c r="N15" s="5">
        <v>122729.29</v>
      </c>
    </row>
    <row r="16" spans="1:14">
      <c r="A16" s="5" t="s">
        <v>22</v>
      </c>
      <c r="B16" s="6">
        <v>45717</v>
      </c>
      <c r="C16" s="5" t="s">
        <v>15</v>
      </c>
      <c r="D16" s="5" t="s">
        <v>16</v>
      </c>
      <c r="E16" s="5">
        <v>59909.51</v>
      </c>
      <c r="F16" s="5">
        <v>8895</v>
      </c>
      <c r="G16" s="5">
        <v>0.22800000000000001</v>
      </c>
      <c r="H16" s="5">
        <v>23</v>
      </c>
      <c r="I16" s="5">
        <v>88.8</v>
      </c>
      <c r="J16" s="5">
        <v>0.27</v>
      </c>
      <c r="K16" s="5">
        <v>0</v>
      </c>
      <c r="L16" s="5">
        <v>4.3</v>
      </c>
      <c r="M16" s="5">
        <v>746501.09</v>
      </c>
      <c r="N16" s="5">
        <v>136816.72</v>
      </c>
    </row>
    <row r="17" spans="1:14">
      <c r="A17" s="5" t="s">
        <v>22</v>
      </c>
      <c r="B17" s="6">
        <v>45748</v>
      </c>
      <c r="C17" s="5" t="s">
        <v>15</v>
      </c>
      <c r="D17" s="5" t="s">
        <v>16</v>
      </c>
      <c r="E17" s="5">
        <v>75305.710000000006</v>
      </c>
      <c r="F17" s="5">
        <v>10940</v>
      </c>
      <c r="G17" s="5">
        <v>6.0000000000000001E-3</v>
      </c>
      <c r="H17" s="5">
        <v>26</v>
      </c>
      <c r="I17" s="5">
        <v>76.5</v>
      </c>
      <c r="J17" s="5">
        <v>1.32</v>
      </c>
      <c r="K17" s="5">
        <v>0</v>
      </c>
      <c r="L17" s="5">
        <v>4.5</v>
      </c>
      <c r="M17" s="5">
        <v>834017.02</v>
      </c>
      <c r="N17" s="5">
        <v>114745.03</v>
      </c>
    </row>
    <row r="18" spans="1:14">
      <c r="A18" s="5" t="s">
        <v>23</v>
      </c>
      <c r="B18" s="6">
        <v>45658</v>
      </c>
      <c r="C18" s="5" t="s">
        <v>24</v>
      </c>
      <c r="D18" s="5" t="s">
        <v>16</v>
      </c>
      <c r="E18" s="5">
        <v>48804.22</v>
      </c>
      <c r="F18" s="5">
        <v>7057</v>
      </c>
      <c r="G18" s="5">
        <v>5.0000000000000001E-3</v>
      </c>
      <c r="H18" s="5">
        <v>15</v>
      </c>
      <c r="I18" s="5">
        <v>87.7</v>
      </c>
      <c r="J18" s="5">
        <v>1.22</v>
      </c>
      <c r="K18" s="5">
        <v>0</v>
      </c>
      <c r="L18" s="5">
        <v>3.7</v>
      </c>
      <c r="M18" s="5">
        <v>666152.52</v>
      </c>
      <c r="N18" s="5">
        <v>107490.58</v>
      </c>
    </row>
    <row r="19" spans="1:14">
      <c r="A19" s="5" t="s">
        <v>23</v>
      </c>
      <c r="B19" s="6">
        <v>45689</v>
      </c>
      <c r="C19" s="5" t="s">
        <v>24</v>
      </c>
      <c r="D19" s="5" t="s">
        <v>16</v>
      </c>
      <c r="E19" s="5">
        <v>59117.9</v>
      </c>
      <c r="F19" s="5">
        <v>4263</v>
      </c>
      <c r="G19" s="5">
        <v>0.11899999999999999</v>
      </c>
      <c r="H19" s="5">
        <v>9</v>
      </c>
      <c r="I19" s="5">
        <v>87.6</v>
      </c>
      <c r="J19" s="5">
        <v>4.01</v>
      </c>
      <c r="K19" s="5">
        <v>0</v>
      </c>
      <c r="L19" s="5">
        <v>3.6</v>
      </c>
      <c r="M19" s="5">
        <v>573155.18999999994</v>
      </c>
      <c r="N19" s="5">
        <v>83680.75</v>
      </c>
    </row>
    <row r="20" spans="1:14">
      <c r="A20" s="5" t="s">
        <v>23</v>
      </c>
      <c r="B20" s="6">
        <v>45717</v>
      </c>
      <c r="C20" s="5" t="s">
        <v>24</v>
      </c>
      <c r="D20" s="5" t="s">
        <v>16</v>
      </c>
      <c r="E20" s="5">
        <v>78831.12</v>
      </c>
      <c r="F20" s="5">
        <v>5538</v>
      </c>
      <c r="G20" s="5">
        <v>0</v>
      </c>
      <c r="H20" s="5">
        <v>15</v>
      </c>
      <c r="I20" s="5">
        <v>94.1</v>
      </c>
      <c r="J20" s="5">
        <v>0.2</v>
      </c>
      <c r="K20" s="5">
        <v>0</v>
      </c>
      <c r="L20" s="5">
        <v>3.9</v>
      </c>
      <c r="M20" s="5">
        <v>666573.19999999995</v>
      </c>
      <c r="N20" s="5">
        <v>140641.01999999999</v>
      </c>
    </row>
    <row r="21" spans="1:14">
      <c r="A21" s="5" t="s">
        <v>23</v>
      </c>
      <c r="B21" s="6">
        <v>45748</v>
      </c>
      <c r="C21" s="5" t="s">
        <v>24</v>
      </c>
      <c r="D21" s="5" t="s">
        <v>16</v>
      </c>
      <c r="E21" s="5">
        <v>41441.93</v>
      </c>
      <c r="F21" s="5">
        <v>4865</v>
      </c>
      <c r="G21" s="5">
        <v>0.158</v>
      </c>
      <c r="H21" s="5">
        <v>16</v>
      </c>
      <c r="I21" s="5">
        <v>88.3</v>
      </c>
      <c r="J21" s="5">
        <v>0.5</v>
      </c>
      <c r="K21" s="5">
        <v>0</v>
      </c>
      <c r="L21" s="5">
        <v>4</v>
      </c>
      <c r="M21" s="5">
        <v>591619.94999999995</v>
      </c>
      <c r="N21" s="5">
        <v>99521.35</v>
      </c>
    </row>
    <row r="22" spans="1:14">
      <c r="A22" s="5" t="s">
        <v>25</v>
      </c>
      <c r="B22" s="6">
        <v>45658</v>
      </c>
      <c r="C22" s="5" t="s">
        <v>20</v>
      </c>
      <c r="D22" s="5" t="s">
        <v>16</v>
      </c>
      <c r="E22" s="5">
        <v>30356.28</v>
      </c>
      <c r="F22" s="5">
        <v>2822</v>
      </c>
      <c r="G22" s="5">
        <v>0.23100000000000001</v>
      </c>
      <c r="H22" s="5">
        <v>9</v>
      </c>
      <c r="I22" s="5">
        <v>84.8</v>
      </c>
      <c r="J22" s="5">
        <v>6.95</v>
      </c>
      <c r="K22" s="5">
        <v>0</v>
      </c>
      <c r="L22" s="5">
        <v>5</v>
      </c>
      <c r="M22" s="5">
        <v>415721.82</v>
      </c>
      <c r="N22" s="5">
        <v>61179.15</v>
      </c>
    </row>
    <row r="23" spans="1:14">
      <c r="A23" s="5" t="s">
        <v>25</v>
      </c>
      <c r="B23" s="6">
        <v>45689</v>
      </c>
      <c r="C23" s="5" t="s">
        <v>20</v>
      </c>
      <c r="D23" s="5" t="s">
        <v>16</v>
      </c>
      <c r="E23" s="5">
        <v>33518.879999999997</v>
      </c>
      <c r="F23" s="5">
        <v>2121</v>
      </c>
      <c r="G23" s="5">
        <v>0.17599999999999999</v>
      </c>
      <c r="H23" s="5">
        <v>8</v>
      </c>
      <c r="I23" s="5">
        <v>88.5</v>
      </c>
      <c r="J23" s="5">
        <v>0.2</v>
      </c>
      <c r="K23" s="5">
        <v>0</v>
      </c>
      <c r="L23" s="5">
        <v>5</v>
      </c>
      <c r="M23" s="5">
        <v>491905.13</v>
      </c>
      <c r="N23" s="5">
        <v>79212.259999999995</v>
      </c>
    </row>
    <row r="24" spans="1:14">
      <c r="A24" s="5" t="s">
        <v>25</v>
      </c>
      <c r="B24" s="6">
        <v>45717</v>
      </c>
      <c r="C24" s="5" t="s">
        <v>20</v>
      </c>
      <c r="D24" s="5" t="s">
        <v>16</v>
      </c>
      <c r="E24" s="5">
        <v>42267.37</v>
      </c>
      <c r="F24" s="5">
        <v>3364</v>
      </c>
      <c r="G24" s="5">
        <v>0.16</v>
      </c>
      <c r="H24" s="5">
        <v>13</v>
      </c>
      <c r="I24" s="5">
        <v>82</v>
      </c>
      <c r="J24" s="5">
        <v>1.61</v>
      </c>
      <c r="K24" s="5">
        <v>1</v>
      </c>
      <c r="L24" s="5">
        <v>4.5999999999999996</v>
      </c>
      <c r="M24" s="5">
        <v>555929.4</v>
      </c>
      <c r="N24" s="5">
        <v>115201.76</v>
      </c>
    </row>
    <row r="25" spans="1:14">
      <c r="A25" s="5" t="s">
        <v>25</v>
      </c>
      <c r="B25" s="6">
        <v>45748</v>
      </c>
      <c r="C25" s="5" t="s">
        <v>20</v>
      </c>
      <c r="D25" s="5" t="s">
        <v>16</v>
      </c>
      <c r="E25" s="5">
        <v>62060.43</v>
      </c>
      <c r="F25" s="5">
        <v>2613</v>
      </c>
      <c r="G25" s="5">
        <v>0.216</v>
      </c>
      <c r="H25" s="5">
        <v>12</v>
      </c>
      <c r="I25" s="5">
        <v>92.1</v>
      </c>
      <c r="J25" s="5">
        <v>1.55</v>
      </c>
      <c r="K25" s="5">
        <v>0</v>
      </c>
      <c r="L25" s="5">
        <v>4.7</v>
      </c>
      <c r="M25" s="5">
        <v>565810.99</v>
      </c>
      <c r="N25" s="5">
        <v>77825.460000000006</v>
      </c>
    </row>
    <row r="26" spans="1:14">
      <c r="A26" s="5" t="s">
        <v>26</v>
      </c>
      <c r="B26" s="6">
        <v>45658</v>
      </c>
      <c r="C26" s="5" t="s">
        <v>27</v>
      </c>
      <c r="D26" s="5" t="s">
        <v>28</v>
      </c>
      <c r="E26" s="5">
        <v>57696.69</v>
      </c>
      <c r="F26" s="5">
        <v>10218</v>
      </c>
      <c r="G26" s="5">
        <v>0.121</v>
      </c>
      <c r="H26" s="5">
        <v>25</v>
      </c>
      <c r="I26" s="5">
        <v>94.8</v>
      </c>
      <c r="J26" s="5">
        <v>2.99</v>
      </c>
      <c r="K26" s="5">
        <v>0</v>
      </c>
      <c r="L26" s="5">
        <v>3.5</v>
      </c>
      <c r="M26" s="5">
        <v>811771.14</v>
      </c>
      <c r="N26" s="5">
        <v>148756.24</v>
      </c>
    </row>
    <row r="27" spans="1:14">
      <c r="A27" s="5" t="s">
        <v>26</v>
      </c>
      <c r="B27" s="6">
        <v>45689</v>
      </c>
      <c r="C27" s="5" t="s">
        <v>27</v>
      </c>
      <c r="D27" s="5" t="s">
        <v>28</v>
      </c>
      <c r="E27" s="5">
        <v>172415.52</v>
      </c>
      <c r="F27" s="5">
        <v>8927</v>
      </c>
      <c r="G27" s="5">
        <v>0.14000000000000001</v>
      </c>
      <c r="H27" s="5">
        <v>22</v>
      </c>
      <c r="I27" s="5">
        <v>86.2</v>
      </c>
      <c r="J27" s="5">
        <v>7.04</v>
      </c>
      <c r="K27" s="5">
        <v>0</v>
      </c>
      <c r="L27" s="5">
        <v>3.9</v>
      </c>
      <c r="M27" s="5">
        <v>800451.94</v>
      </c>
      <c r="N27" s="5">
        <v>111572.29</v>
      </c>
    </row>
    <row r="28" spans="1:14">
      <c r="A28" s="5" t="s">
        <v>26</v>
      </c>
      <c r="B28" s="6">
        <v>45717</v>
      </c>
      <c r="C28" s="5" t="s">
        <v>27</v>
      </c>
      <c r="D28" s="5" t="s">
        <v>28</v>
      </c>
      <c r="E28" s="5">
        <v>55270.52</v>
      </c>
      <c r="F28" s="5">
        <v>9315</v>
      </c>
      <c r="G28" s="5">
        <v>0.16900000000000001</v>
      </c>
      <c r="H28" s="5">
        <v>23</v>
      </c>
      <c r="I28" s="5">
        <v>91.9</v>
      </c>
      <c r="J28" s="5">
        <v>4.9400000000000004</v>
      </c>
      <c r="K28" s="5">
        <v>0</v>
      </c>
      <c r="L28" s="5">
        <v>4</v>
      </c>
      <c r="M28" s="5">
        <v>783672.82</v>
      </c>
      <c r="N28" s="5">
        <v>112577.14</v>
      </c>
    </row>
    <row r="29" spans="1:14">
      <c r="A29" s="5" t="s">
        <v>26</v>
      </c>
      <c r="B29" s="6">
        <v>45748</v>
      </c>
      <c r="C29" s="5" t="s">
        <v>27</v>
      </c>
      <c r="D29" s="5" t="s">
        <v>28</v>
      </c>
      <c r="E29" s="5">
        <v>52715.1</v>
      </c>
      <c r="F29" s="5">
        <v>7223</v>
      </c>
      <c r="G29" s="5">
        <v>0.122</v>
      </c>
      <c r="H29" s="5">
        <v>16</v>
      </c>
      <c r="I29" s="5">
        <v>84.2</v>
      </c>
      <c r="J29" s="5">
        <v>16.149999999999999</v>
      </c>
      <c r="K29" s="5">
        <v>0</v>
      </c>
      <c r="L29" s="5">
        <v>3.7</v>
      </c>
      <c r="M29" s="5">
        <v>701641.97</v>
      </c>
      <c r="N29" s="5">
        <v>106111.86</v>
      </c>
    </row>
    <row r="30" spans="1:14">
      <c r="A30" s="5" t="s">
        <v>29</v>
      </c>
      <c r="B30" s="6">
        <v>45658</v>
      </c>
      <c r="C30" s="5" t="s">
        <v>15</v>
      </c>
      <c r="D30" s="5" t="s">
        <v>16</v>
      </c>
      <c r="E30" s="5">
        <v>68600.62</v>
      </c>
      <c r="F30" s="5">
        <v>3988</v>
      </c>
      <c r="G30" s="5">
        <v>0.124</v>
      </c>
      <c r="H30" s="5">
        <v>11</v>
      </c>
      <c r="I30" s="5">
        <v>85</v>
      </c>
      <c r="J30" s="5">
        <v>0.48</v>
      </c>
      <c r="K30" s="5">
        <v>0</v>
      </c>
      <c r="L30" s="5">
        <v>3.6</v>
      </c>
      <c r="M30" s="5">
        <v>511844.41</v>
      </c>
      <c r="N30" s="5">
        <v>72774.44</v>
      </c>
    </row>
    <row r="31" spans="1:14">
      <c r="A31" s="5" t="s">
        <v>29</v>
      </c>
      <c r="B31" s="6">
        <v>45689</v>
      </c>
      <c r="C31" s="5" t="s">
        <v>15</v>
      </c>
      <c r="D31" s="5" t="s">
        <v>16</v>
      </c>
      <c r="E31" s="5">
        <v>63176.73</v>
      </c>
      <c r="F31" s="5">
        <v>2390</v>
      </c>
      <c r="G31" s="5">
        <v>0.216</v>
      </c>
      <c r="H31" s="5">
        <v>9</v>
      </c>
      <c r="I31" s="5">
        <v>87.5</v>
      </c>
      <c r="J31" s="5">
        <v>0.31</v>
      </c>
      <c r="K31" s="5">
        <v>0</v>
      </c>
      <c r="L31" s="5">
        <v>3.1</v>
      </c>
      <c r="M31" s="5">
        <v>537383.79</v>
      </c>
      <c r="N31" s="5">
        <v>63773.27</v>
      </c>
    </row>
    <row r="32" spans="1:14">
      <c r="A32" s="5" t="s">
        <v>29</v>
      </c>
      <c r="B32" s="6">
        <v>45717</v>
      </c>
      <c r="C32" s="5" t="s">
        <v>15</v>
      </c>
      <c r="D32" s="5" t="s">
        <v>16</v>
      </c>
      <c r="E32" s="5">
        <v>44970.080000000002</v>
      </c>
      <c r="F32" s="5">
        <v>2471</v>
      </c>
      <c r="G32" s="5">
        <v>0.13600000000000001</v>
      </c>
      <c r="H32" s="5">
        <v>11</v>
      </c>
      <c r="I32" s="5">
        <v>87.6</v>
      </c>
      <c r="J32" s="5">
        <v>3.01</v>
      </c>
      <c r="K32" s="5">
        <v>1</v>
      </c>
      <c r="L32" s="5">
        <v>3.7</v>
      </c>
      <c r="M32" s="5">
        <v>500173.02</v>
      </c>
      <c r="N32" s="5">
        <v>70982.05</v>
      </c>
    </row>
    <row r="33" spans="1:14">
      <c r="A33" s="5" t="s">
        <v>29</v>
      </c>
      <c r="B33" s="6">
        <v>45748</v>
      </c>
      <c r="C33" s="5" t="s">
        <v>15</v>
      </c>
      <c r="D33" s="5" t="s">
        <v>16</v>
      </c>
      <c r="E33" s="5">
        <v>69816.350000000006</v>
      </c>
      <c r="F33" s="5">
        <v>971</v>
      </c>
      <c r="G33" s="5">
        <v>0.16800000000000001</v>
      </c>
      <c r="H33" s="5">
        <v>5</v>
      </c>
      <c r="I33" s="5">
        <v>89.9</v>
      </c>
      <c r="J33" s="5">
        <v>12.15</v>
      </c>
      <c r="K33" s="5">
        <v>0</v>
      </c>
      <c r="L33" s="5">
        <v>3.6</v>
      </c>
      <c r="M33" s="5">
        <v>427917.38</v>
      </c>
      <c r="N33" s="5">
        <v>81824.31</v>
      </c>
    </row>
    <row r="34" spans="1:14">
      <c r="A34" s="5" t="s">
        <v>30</v>
      </c>
      <c r="B34" s="6">
        <v>45658</v>
      </c>
      <c r="C34" s="5" t="s">
        <v>20</v>
      </c>
      <c r="D34" s="5" t="s">
        <v>16</v>
      </c>
      <c r="E34" s="5">
        <v>54597.83</v>
      </c>
      <c r="F34" s="5">
        <v>9429</v>
      </c>
      <c r="G34" s="5">
        <v>0.188</v>
      </c>
      <c r="H34" s="5">
        <v>21</v>
      </c>
      <c r="I34" s="5">
        <v>83.3</v>
      </c>
      <c r="J34" s="5">
        <v>11.71</v>
      </c>
      <c r="K34" s="5">
        <v>0</v>
      </c>
      <c r="L34" s="5">
        <v>4.2</v>
      </c>
      <c r="M34" s="5">
        <v>641865.03</v>
      </c>
      <c r="N34" s="5">
        <v>81342.58</v>
      </c>
    </row>
    <row r="35" spans="1:14">
      <c r="A35" s="5" t="s">
        <v>30</v>
      </c>
      <c r="B35" s="6">
        <v>45689</v>
      </c>
      <c r="C35" s="5" t="s">
        <v>20</v>
      </c>
      <c r="D35" s="5" t="s">
        <v>16</v>
      </c>
      <c r="E35" s="5">
        <v>73771.91</v>
      </c>
      <c r="F35" s="5">
        <v>11695</v>
      </c>
      <c r="G35" s="5">
        <v>7.0000000000000007E-2</v>
      </c>
      <c r="H35" s="5">
        <v>25</v>
      </c>
      <c r="I35" s="5">
        <v>84.7</v>
      </c>
      <c r="J35" s="5">
        <v>0.62</v>
      </c>
      <c r="K35" s="5">
        <v>0</v>
      </c>
      <c r="L35" s="5"/>
      <c r="M35" s="5">
        <v>799477.76000000001</v>
      </c>
      <c r="N35" s="5">
        <v>164974.41</v>
      </c>
    </row>
    <row r="36" spans="1:14">
      <c r="A36" s="5" t="s">
        <v>30</v>
      </c>
      <c r="B36" s="6">
        <v>45717</v>
      </c>
      <c r="C36" s="5" t="s">
        <v>20</v>
      </c>
      <c r="D36" s="5" t="s">
        <v>16</v>
      </c>
      <c r="E36" s="5">
        <v>74413.88</v>
      </c>
      <c r="F36" s="5">
        <v>9449</v>
      </c>
      <c r="G36" s="5">
        <v>3.9E-2</v>
      </c>
      <c r="H36" s="5">
        <v>23</v>
      </c>
      <c r="I36" s="5">
        <v>92.1</v>
      </c>
      <c r="J36" s="5">
        <v>2.12</v>
      </c>
      <c r="K36" s="5">
        <v>0</v>
      </c>
      <c r="L36" s="5">
        <v>3.5</v>
      </c>
      <c r="M36" s="5">
        <v>798952.17</v>
      </c>
      <c r="N36" s="5">
        <v>161499.04</v>
      </c>
    </row>
    <row r="37" spans="1:14">
      <c r="A37" s="5" t="s">
        <v>30</v>
      </c>
      <c r="B37" s="6">
        <v>45748</v>
      </c>
      <c r="C37" s="5" t="s">
        <v>20</v>
      </c>
      <c r="D37" s="5" t="s">
        <v>16</v>
      </c>
      <c r="E37" s="5">
        <v>52483.77</v>
      </c>
      <c r="F37" s="5">
        <v>10453</v>
      </c>
      <c r="G37" s="5">
        <v>0.247</v>
      </c>
      <c r="H37" s="5">
        <v>25</v>
      </c>
      <c r="I37" s="5">
        <v>99</v>
      </c>
      <c r="J37" s="5">
        <v>6.31</v>
      </c>
      <c r="K37" s="5">
        <v>0</v>
      </c>
      <c r="L37" s="5">
        <v>3.6</v>
      </c>
      <c r="M37" s="5">
        <v>800979.78</v>
      </c>
      <c r="N37" s="5">
        <v>149242.26999999999</v>
      </c>
    </row>
    <row r="38" spans="1:14">
      <c r="A38" s="5" t="s">
        <v>31</v>
      </c>
      <c r="B38" s="6">
        <v>45658</v>
      </c>
      <c r="C38" s="5" t="s">
        <v>20</v>
      </c>
      <c r="D38" s="5" t="s">
        <v>28</v>
      </c>
      <c r="E38" s="5">
        <v>75269.87</v>
      </c>
      <c r="F38" s="5">
        <v>8838</v>
      </c>
      <c r="G38" s="5">
        <v>9.1999999999999998E-2</v>
      </c>
      <c r="H38" s="5">
        <v>21</v>
      </c>
      <c r="I38" s="5">
        <v>83.1</v>
      </c>
      <c r="J38" s="5">
        <v>9.56</v>
      </c>
      <c r="K38" s="5">
        <v>1</v>
      </c>
      <c r="L38" s="5">
        <v>4.2</v>
      </c>
      <c r="M38" s="5">
        <v>820593.93</v>
      </c>
      <c r="N38" s="5">
        <v>115860.06</v>
      </c>
    </row>
    <row r="39" spans="1:14">
      <c r="A39" s="5" t="s">
        <v>31</v>
      </c>
      <c r="B39" s="6">
        <v>45689</v>
      </c>
      <c r="C39" s="5" t="s">
        <v>20</v>
      </c>
      <c r="D39" s="5" t="s">
        <v>28</v>
      </c>
      <c r="E39" s="5">
        <v>61245.41</v>
      </c>
      <c r="F39" s="5">
        <v>8156</v>
      </c>
      <c r="G39" s="5">
        <v>0.156</v>
      </c>
      <c r="H39" s="5">
        <v>19</v>
      </c>
      <c r="I39" s="5">
        <v>92.9</v>
      </c>
      <c r="J39" s="5">
        <v>9.0500000000000007</v>
      </c>
      <c r="K39" s="5">
        <v>0</v>
      </c>
      <c r="L39" s="5">
        <v>3.8</v>
      </c>
      <c r="M39" s="5">
        <v>718330.53</v>
      </c>
      <c r="N39" s="5">
        <v>93247.9</v>
      </c>
    </row>
    <row r="40" spans="1:14">
      <c r="A40" s="5" t="s">
        <v>31</v>
      </c>
      <c r="B40" s="6">
        <v>45717</v>
      </c>
      <c r="C40" s="5" t="s">
        <v>20</v>
      </c>
      <c r="D40" s="5" t="s">
        <v>28</v>
      </c>
      <c r="E40" s="5">
        <v>93381.26</v>
      </c>
      <c r="F40" s="5">
        <v>7562</v>
      </c>
      <c r="G40" s="5">
        <v>0.19800000000000001</v>
      </c>
      <c r="H40" s="5">
        <v>19</v>
      </c>
      <c r="I40" s="5">
        <v>82.9</v>
      </c>
      <c r="J40" s="5">
        <v>5.05</v>
      </c>
      <c r="K40" s="5">
        <v>0</v>
      </c>
      <c r="L40" s="5">
        <v>4</v>
      </c>
      <c r="M40" s="5">
        <v>736633.4</v>
      </c>
      <c r="N40" s="5">
        <v>115654.66</v>
      </c>
    </row>
    <row r="41" spans="1:14">
      <c r="A41" s="5" t="s">
        <v>31</v>
      </c>
      <c r="B41" s="6">
        <v>45748</v>
      </c>
      <c r="C41" s="5" t="s">
        <v>20</v>
      </c>
      <c r="D41" s="5" t="s">
        <v>28</v>
      </c>
      <c r="E41" s="5">
        <v>65012.19</v>
      </c>
      <c r="F41" s="5">
        <v>9598</v>
      </c>
      <c r="G41" s="5">
        <v>8.5000000000000006E-2</v>
      </c>
      <c r="H41" s="5">
        <v>24</v>
      </c>
      <c r="I41" s="5">
        <v>98.3</v>
      </c>
      <c r="J41" s="5">
        <v>0.89</v>
      </c>
      <c r="K41" s="5">
        <v>0</v>
      </c>
      <c r="L41" s="5">
        <v>3.8</v>
      </c>
      <c r="M41" s="5">
        <v>828623.85</v>
      </c>
      <c r="N41" s="5">
        <v>167320.51999999999</v>
      </c>
    </row>
    <row r="42" spans="1:14">
      <c r="A42" s="5" t="s">
        <v>32</v>
      </c>
      <c r="B42" s="6">
        <v>45658</v>
      </c>
      <c r="C42" s="5" t="s">
        <v>15</v>
      </c>
      <c r="D42" s="5" t="s">
        <v>28</v>
      </c>
      <c r="E42" s="5">
        <v>40462.94</v>
      </c>
      <c r="F42" s="5">
        <v>3660</v>
      </c>
      <c r="G42" s="5">
        <v>0.218</v>
      </c>
      <c r="H42" s="5">
        <v>11</v>
      </c>
      <c r="I42" s="5">
        <v>95.2</v>
      </c>
      <c r="J42" s="5">
        <v>5.57</v>
      </c>
      <c r="K42" s="5">
        <v>0</v>
      </c>
      <c r="L42" s="5">
        <v>4.4000000000000004</v>
      </c>
      <c r="M42" s="5">
        <v>592195.85</v>
      </c>
      <c r="N42" s="5">
        <v>92291.56</v>
      </c>
    </row>
    <row r="43" spans="1:14">
      <c r="A43" s="5" t="s">
        <v>32</v>
      </c>
      <c r="B43" s="6">
        <v>45689</v>
      </c>
      <c r="C43" s="5" t="s">
        <v>15</v>
      </c>
      <c r="D43" s="5" t="s">
        <v>28</v>
      </c>
      <c r="E43" s="5">
        <v>46123.88</v>
      </c>
      <c r="F43" s="5">
        <v>3227</v>
      </c>
      <c r="G43" s="5">
        <v>0.14299999999999999</v>
      </c>
      <c r="H43" s="5">
        <v>10</v>
      </c>
      <c r="I43" s="5">
        <v>75.400000000000006</v>
      </c>
      <c r="J43" s="5">
        <v>1.06</v>
      </c>
      <c r="K43" s="5">
        <v>0</v>
      </c>
      <c r="L43" s="5">
        <v>4.4000000000000004</v>
      </c>
      <c r="M43" s="5">
        <v>532644.46</v>
      </c>
      <c r="N43" s="5">
        <v>60681.32</v>
      </c>
    </row>
    <row r="44" spans="1:14">
      <c r="A44" s="5" t="s">
        <v>32</v>
      </c>
      <c r="B44" s="6">
        <v>45717</v>
      </c>
      <c r="C44" s="5" t="s">
        <v>15</v>
      </c>
      <c r="D44" s="5" t="s">
        <v>28</v>
      </c>
      <c r="E44" s="5">
        <v>68077.539999999994</v>
      </c>
      <c r="F44" s="5">
        <v>3360</v>
      </c>
      <c r="G44" s="5">
        <v>0.128</v>
      </c>
      <c r="H44" s="5">
        <v>14</v>
      </c>
      <c r="I44" s="5">
        <v>88.2</v>
      </c>
      <c r="J44" s="5">
        <v>1.24</v>
      </c>
      <c r="K44" s="5">
        <v>1</v>
      </c>
      <c r="L44" s="5">
        <v>4</v>
      </c>
      <c r="M44" s="5">
        <v>657429.18000000005</v>
      </c>
      <c r="N44" s="5">
        <v>88919.74</v>
      </c>
    </row>
    <row r="45" spans="1:14">
      <c r="A45" s="5" t="s">
        <v>32</v>
      </c>
      <c r="B45" s="6">
        <v>45748</v>
      </c>
      <c r="C45" s="5" t="s">
        <v>15</v>
      </c>
      <c r="D45" s="5" t="s">
        <v>28</v>
      </c>
      <c r="E45" s="5">
        <v>64882.14</v>
      </c>
      <c r="F45" s="5">
        <v>3642</v>
      </c>
      <c r="G45" s="5">
        <v>1.9E-2</v>
      </c>
      <c r="H45" s="5">
        <v>13</v>
      </c>
      <c r="I45" s="5">
        <v>87.8</v>
      </c>
      <c r="J45" s="5">
        <v>4.5199999999999996</v>
      </c>
      <c r="K45" s="5">
        <v>0</v>
      </c>
      <c r="L45" s="5">
        <v>4.2</v>
      </c>
      <c r="M45" s="5">
        <v>605178</v>
      </c>
      <c r="N45" s="5">
        <v>106958.74</v>
      </c>
    </row>
    <row r="46" spans="1:14">
      <c r="A46" s="5" t="s">
        <v>33</v>
      </c>
      <c r="B46" s="6">
        <v>45658</v>
      </c>
      <c r="C46" s="5" t="s">
        <v>27</v>
      </c>
      <c r="D46" s="5" t="s">
        <v>16</v>
      </c>
      <c r="E46" s="5">
        <v>138855.51</v>
      </c>
      <c r="F46" s="5">
        <v>5145</v>
      </c>
      <c r="G46" s="5">
        <v>0.06</v>
      </c>
      <c r="H46" s="5">
        <v>17</v>
      </c>
      <c r="I46" s="5">
        <v>88.2</v>
      </c>
      <c r="J46" s="5">
        <v>9.58</v>
      </c>
      <c r="K46" s="5">
        <v>0</v>
      </c>
      <c r="L46" s="5">
        <v>3.2</v>
      </c>
      <c r="M46" s="5">
        <v>595467.6</v>
      </c>
      <c r="N46" s="5">
        <v>104276.46</v>
      </c>
    </row>
    <row r="47" spans="1:14">
      <c r="A47" s="5" t="s">
        <v>33</v>
      </c>
      <c r="B47" s="6">
        <v>45689</v>
      </c>
      <c r="C47" s="5" t="s">
        <v>27</v>
      </c>
      <c r="D47" s="5" t="s">
        <v>16</v>
      </c>
      <c r="E47" s="5">
        <v>63630.21</v>
      </c>
      <c r="F47" s="5">
        <v>4460</v>
      </c>
      <c r="G47" s="5">
        <v>0.23499999999999999</v>
      </c>
      <c r="H47" s="5">
        <v>14</v>
      </c>
      <c r="I47" s="5">
        <v>98.6</v>
      </c>
      <c r="J47" s="5">
        <v>5.52</v>
      </c>
      <c r="K47" s="5">
        <v>0</v>
      </c>
      <c r="L47" s="5">
        <v>3.5</v>
      </c>
      <c r="M47" s="5">
        <v>599603.4</v>
      </c>
      <c r="N47" s="5">
        <v>112685.12</v>
      </c>
    </row>
    <row r="48" spans="1:14">
      <c r="A48" s="5" t="s">
        <v>33</v>
      </c>
      <c r="B48" s="6">
        <v>45717</v>
      </c>
      <c r="C48" s="5" t="s">
        <v>27</v>
      </c>
      <c r="D48" s="5" t="s">
        <v>16</v>
      </c>
      <c r="E48" s="5">
        <v>50043.65</v>
      </c>
      <c r="F48" s="5">
        <v>3804</v>
      </c>
      <c r="G48" s="5">
        <v>0.113</v>
      </c>
      <c r="H48" s="5">
        <v>11</v>
      </c>
      <c r="I48" s="5">
        <v>90.9</v>
      </c>
      <c r="J48" s="5">
        <v>2.7</v>
      </c>
      <c r="K48" s="5">
        <v>1</v>
      </c>
      <c r="L48" s="5">
        <v>3.2</v>
      </c>
      <c r="M48" s="5">
        <v>614800.09</v>
      </c>
      <c r="N48" s="5">
        <v>100044.2</v>
      </c>
    </row>
    <row r="49" spans="1:14">
      <c r="A49" s="5" t="s">
        <v>33</v>
      </c>
      <c r="B49" s="6">
        <v>45748</v>
      </c>
      <c r="C49" s="5" t="s">
        <v>27</v>
      </c>
      <c r="D49" s="5" t="s">
        <v>16</v>
      </c>
      <c r="E49" s="5">
        <v>42093.84</v>
      </c>
      <c r="F49" s="5">
        <v>4074</v>
      </c>
      <c r="G49" s="5">
        <v>0.155</v>
      </c>
      <c r="H49" s="5">
        <v>15</v>
      </c>
      <c r="I49" s="5">
        <v>88</v>
      </c>
      <c r="J49" s="5">
        <v>9.64</v>
      </c>
      <c r="K49" s="5">
        <v>0</v>
      </c>
      <c r="L49" s="5">
        <v>3.3</v>
      </c>
      <c r="M49" s="5">
        <v>585365.73</v>
      </c>
      <c r="N49" s="5">
        <v>81011.520000000004</v>
      </c>
    </row>
    <row r="50" spans="1:14">
      <c r="A50" s="5" t="s">
        <v>34</v>
      </c>
      <c r="B50" s="6">
        <v>45658</v>
      </c>
      <c r="C50" s="5" t="s">
        <v>20</v>
      </c>
      <c r="D50" s="5" t="s">
        <v>28</v>
      </c>
      <c r="E50" s="5">
        <v>46624.05</v>
      </c>
      <c r="F50" s="5">
        <v>5104</v>
      </c>
      <c r="G50" s="5">
        <v>0.109</v>
      </c>
      <c r="H50" s="5">
        <v>11</v>
      </c>
      <c r="I50" s="5">
        <v>97.3</v>
      </c>
      <c r="J50" s="5">
        <v>3.49</v>
      </c>
      <c r="K50" s="5">
        <v>1</v>
      </c>
      <c r="L50" s="5">
        <v>4.7</v>
      </c>
      <c r="M50" s="5">
        <v>622811.74</v>
      </c>
      <c r="N50" s="5">
        <v>109978.35</v>
      </c>
    </row>
    <row r="51" spans="1:14">
      <c r="A51" s="5" t="s">
        <v>34</v>
      </c>
      <c r="B51" s="6">
        <v>45689</v>
      </c>
      <c r="C51" s="5" t="s">
        <v>20</v>
      </c>
      <c r="D51" s="5" t="s">
        <v>28</v>
      </c>
      <c r="E51" s="5">
        <v>49710.29</v>
      </c>
      <c r="F51" s="5">
        <v>5559</v>
      </c>
      <c r="G51" s="5">
        <v>0.218</v>
      </c>
      <c r="H51" s="5">
        <v>14</v>
      </c>
      <c r="I51" s="5">
        <v>71</v>
      </c>
      <c r="J51" s="5">
        <v>9.11</v>
      </c>
      <c r="K51" s="5">
        <v>0</v>
      </c>
      <c r="L51" s="5">
        <v>4.5999999999999996</v>
      </c>
      <c r="M51" s="5">
        <v>603297.56999999995</v>
      </c>
      <c r="N51" s="5">
        <v>60592.26</v>
      </c>
    </row>
    <row r="52" spans="1:14">
      <c r="A52" s="5" t="s">
        <v>34</v>
      </c>
      <c r="B52" s="6">
        <v>45717</v>
      </c>
      <c r="C52" s="5" t="s">
        <v>20</v>
      </c>
      <c r="D52" s="5" t="s">
        <v>28</v>
      </c>
      <c r="E52" s="5">
        <v>48287.85</v>
      </c>
      <c r="F52" s="5">
        <v>5150</v>
      </c>
      <c r="G52" s="5">
        <v>8.0000000000000002E-3</v>
      </c>
      <c r="H52" s="5">
        <v>12</v>
      </c>
      <c r="I52" s="5">
        <v>80.400000000000006</v>
      </c>
      <c r="J52" s="5">
        <v>7.4</v>
      </c>
      <c r="K52" s="5">
        <v>0</v>
      </c>
      <c r="L52" s="5">
        <v>4.5</v>
      </c>
      <c r="M52" s="5">
        <v>625672.86</v>
      </c>
      <c r="N52" s="5">
        <v>118020.12</v>
      </c>
    </row>
    <row r="53" spans="1:14">
      <c r="A53" s="5" t="s">
        <v>34</v>
      </c>
      <c r="B53" s="6">
        <v>45748</v>
      </c>
      <c r="C53" s="5" t="s">
        <v>20</v>
      </c>
      <c r="D53" s="5" t="s">
        <v>28</v>
      </c>
      <c r="E53" s="5">
        <v>65312.49</v>
      </c>
      <c r="F53" s="5">
        <v>7189</v>
      </c>
      <c r="G53" s="5">
        <v>0.05</v>
      </c>
      <c r="H53" s="5">
        <v>19</v>
      </c>
      <c r="I53" s="5">
        <v>93.7</v>
      </c>
      <c r="J53" s="5">
        <v>7.16</v>
      </c>
      <c r="K53" s="5">
        <v>0</v>
      </c>
      <c r="L53" s="5">
        <v>4.5999999999999996</v>
      </c>
      <c r="M53" s="5">
        <v>773815.14</v>
      </c>
      <c r="N53" s="5">
        <v>133948.39000000001</v>
      </c>
    </row>
    <row r="54" spans="1:14">
      <c r="A54" s="5" t="s">
        <v>35</v>
      </c>
      <c r="B54" s="6">
        <v>45658</v>
      </c>
      <c r="C54" s="5" t="s">
        <v>27</v>
      </c>
      <c r="D54" s="5" t="s">
        <v>18</v>
      </c>
      <c r="E54" s="5">
        <v>53015.46</v>
      </c>
      <c r="F54" s="5">
        <v>3279</v>
      </c>
      <c r="G54" s="5">
        <v>8.6999999999999994E-2</v>
      </c>
      <c r="H54" s="5">
        <v>9</v>
      </c>
      <c r="I54" s="5">
        <v>84.3</v>
      </c>
      <c r="J54" s="5">
        <v>22.02</v>
      </c>
      <c r="K54" s="5">
        <v>0</v>
      </c>
      <c r="L54" s="5">
        <v>3.9</v>
      </c>
      <c r="M54" s="5">
        <v>463534.25</v>
      </c>
      <c r="N54" s="5">
        <v>81834.539999999994</v>
      </c>
    </row>
    <row r="55" spans="1:14">
      <c r="A55" s="5" t="s">
        <v>35</v>
      </c>
      <c r="B55" s="6">
        <v>45689</v>
      </c>
      <c r="C55" s="5" t="s">
        <v>27</v>
      </c>
      <c r="D55" s="5" t="s">
        <v>18</v>
      </c>
      <c r="E55" s="5">
        <v>99874.01</v>
      </c>
      <c r="F55" s="5">
        <v>5887</v>
      </c>
      <c r="G55" s="5">
        <v>0.26200000000000001</v>
      </c>
      <c r="H55" s="5">
        <v>14</v>
      </c>
      <c r="I55" s="5">
        <v>88.7</v>
      </c>
      <c r="J55" s="5">
        <v>6.18</v>
      </c>
      <c r="K55" s="5">
        <v>0</v>
      </c>
      <c r="L55" s="5">
        <v>4.7</v>
      </c>
      <c r="M55" s="5">
        <v>746677.75</v>
      </c>
      <c r="N55" s="5">
        <v>122437.84</v>
      </c>
    </row>
    <row r="56" spans="1:14">
      <c r="A56" s="5" t="s">
        <v>35</v>
      </c>
      <c r="B56" s="6">
        <v>45717</v>
      </c>
      <c r="C56" s="5" t="s">
        <v>27</v>
      </c>
      <c r="D56" s="5" t="s">
        <v>18</v>
      </c>
      <c r="E56" s="5">
        <v>81195.5</v>
      </c>
      <c r="F56" s="5">
        <v>5516</v>
      </c>
      <c r="G56" s="5">
        <v>0.106</v>
      </c>
      <c r="H56" s="5">
        <v>14</v>
      </c>
      <c r="I56" s="5">
        <v>88</v>
      </c>
      <c r="J56" s="5">
        <v>1.76</v>
      </c>
      <c r="K56" s="5">
        <v>0</v>
      </c>
      <c r="L56" s="5">
        <v>4.3</v>
      </c>
      <c r="M56" s="5">
        <v>720852.5</v>
      </c>
      <c r="N56" s="5">
        <v>98565.62</v>
      </c>
    </row>
    <row r="57" spans="1:14">
      <c r="A57" s="5" t="s">
        <v>35</v>
      </c>
      <c r="B57" s="6">
        <v>45748</v>
      </c>
      <c r="C57" s="5" t="s">
        <v>27</v>
      </c>
      <c r="D57" s="5" t="s">
        <v>18</v>
      </c>
      <c r="E57" s="5">
        <v>27808.6</v>
      </c>
      <c r="F57" s="5">
        <v>2863</v>
      </c>
      <c r="G57" s="5">
        <v>0.08</v>
      </c>
      <c r="H57" s="5">
        <v>13</v>
      </c>
      <c r="I57" s="5">
        <v>89.3</v>
      </c>
      <c r="J57" s="5">
        <v>0.47</v>
      </c>
      <c r="K57" s="5">
        <v>0</v>
      </c>
      <c r="L57" s="5">
        <v>4.0999999999999996</v>
      </c>
      <c r="M57" s="5">
        <v>487464.91</v>
      </c>
      <c r="N57" s="5">
        <v>64562.26</v>
      </c>
    </row>
    <row r="58" spans="1:14">
      <c r="A58" s="5" t="s">
        <v>36</v>
      </c>
      <c r="B58" s="6">
        <v>45658</v>
      </c>
      <c r="C58" s="5" t="s">
        <v>15</v>
      </c>
      <c r="D58" s="5" t="s">
        <v>21</v>
      </c>
      <c r="E58" s="5">
        <v>19365.060000000001</v>
      </c>
      <c r="F58" s="5">
        <v>2378</v>
      </c>
      <c r="G58" s="5">
        <v>0</v>
      </c>
      <c r="H58" s="5">
        <v>12</v>
      </c>
      <c r="I58" s="5">
        <v>94.8</v>
      </c>
      <c r="J58" s="5">
        <v>0.2</v>
      </c>
      <c r="K58" s="5">
        <v>0</v>
      </c>
      <c r="L58" s="5">
        <v>3.5</v>
      </c>
      <c r="M58" s="5">
        <v>518049.26</v>
      </c>
      <c r="N58" s="5">
        <v>108592.49</v>
      </c>
    </row>
    <row r="59" spans="1:14">
      <c r="A59" s="5" t="s">
        <v>36</v>
      </c>
      <c r="B59" s="6">
        <v>45689</v>
      </c>
      <c r="C59" s="5" t="s">
        <v>15</v>
      </c>
      <c r="D59" s="5" t="s">
        <v>21</v>
      </c>
      <c r="E59" s="5">
        <v>59405.68</v>
      </c>
      <c r="F59" s="5">
        <v>2515</v>
      </c>
      <c r="G59" s="5">
        <v>3.9E-2</v>
      </c>
      <c r="H59" s="5">
        <v>12</v>
      </c>
      <c r="I59" s="5">
        <v>76</v>
      </c>
      <c r="J59" s="5">
        <v>5.1100000000000003</v>
      </c>
      <c r="K59" s="5">
        <v>0</v>
      </c>
      <c r="L59" s="5">
        <v>3.7</v>
      </c>
      <c r="M59" s="5">
        <v>500298.48</v>
      </c>
      <c r="N59" s="5">
        <v>73461.320000000007</v>
      </c>
    </row>
    <row r="60" spans="1:14">
      <c r="A60" s="5" t="s">
        <v>36</v>
      </c>
      <c r="B60" s="6">
        <v>45717</v>
      </c>
      <c r="C60" s="5" t="s">
        <v>15</v>
      </c>
      <c r="D60" s="5" t="s">
        <v>21</v>
      </c>
      <c r="E60" s="5">
        <v>118910.48</v>
      </c>
      <c r="F60" s="5">
        <v>4022</v>
      </c>
      <c r="G60" s="5">
        <v>0.13700000000000001</v>
      </c>
      <c r="H60" s="5">
        <v>11</v>
      </c>
      <c r="I60" s="5">
        <v>87.1</v>
      </c>
      <c r="J60" s="5">
        <v>0.2</v>
      </c>
      <c r="K60" s="5">
        <v>0</v>
      </c>
      <c r="L60" s="5">
        <v>3.1</v>
      </c>
      <c r="M60" s="5">
        <v>617291.15</v>
      </c>
      <c r="N60" s="5">
        <v>117782</v>
      </c>
    </row>
    <row r="61" spans="1:14">
      <c r="A61" s="5" t="s">
        <v>36</v>
      </c>
      <c r="B61" s="6">
        <v>45748</v>
      </c>
      <c r="C61" s="5" t="s">
        <v>15</v>
      </c>
      <c r="D61" s="5" t="s">
        <v>21</v>
      </c>
      <c r="E61" s="5">
        <v>52952.12</v>
      </c>
      <c r="F61" s="5">
        <v>4377</v>
      </c>
      <c r="G61" s="5">
        <v>9.1999999999999998E-2</v>
      </c>
      <c r="H61" s="5">
        <v>14</v>
      </c>
      <c r="I61" s="5">
        <v>88.6</v>
      </c>
      <c r="J61" s="5">
        <v>13.59</v>
      </c>
      <c r="K61" s="5">
        <v>0</v>
      </c>
      <c r="L61" s="5">
        <v>3.1</v>
      </c>
      <c r="M61" s="5">
        <v>553756.43000000005</v>
      </c>
      <c r="N61" s="5">
        <v>86166.77</v>
      </c>
    </row>
    <row r="62" spans="1:14">
      <c r="A62" s="5" t="s">
        <v>37</v>
      </c>
      <c r="B62" s="6">
        <v>45658</v>
      </c>
      <c r="C62" s="5" t="s">
        <v>24</v>
      </c>
      <c r="D62" s="5" t="s">
        <v>18</v>
      </c>
      <c r="E62" s="5">
        <v>74907.98</v>
      </c>
      <c r="F62" s="5">
        <v>5306</v>
      </c>
      <c r="G62" s="5">
        <v>6.2E-2</v>
      </c>
      <c r="H62" s="5">
        <v>16</v>
      </c>
      <c r="I62" s="5">
        <v>95.6</v>
      </c>
      <c r="J62" s="5">
        <v>1.02</v>
      </c>
      <c r="K62" s="5">
        <v>0</v>
      </c>
      <c r="L62" s="5">
        <v>3.7</v>
      </c>
      <c r="M62" s="5">
        <v>749559.71</v>
      </c>
      <c r="N62" s="5">
        <v>144522.53</v>
      </c>
    </row>
    <row r="63" spans="1:14">
      <c r="A63" s="5" t="s">
        <v>37</v>
      </c>
      <c r="B63" s="6">
        <v>45689</v>
      </c>
      <c r="C63" s="5" t="s">
        <v>24</v>
      </c>
      <c r="D63" s="5" t="s">
        <v>18</v>
      </c>
      <c r="E63" s="5">
        <v>37284.660000000003</v>
      </c>
      <c r="F63" s="5">
        <v>3928</v>
      </c>
      <c r="G63" s="5">
        <v>7.3999999999999996E-2</v>
      </c>
      <c r="H63" s="5">
        <v>12</v>
      </c>
      <c r="I63" s="5">
        <v>86.5</v>
      </c>
      <c r="J63" s="5">
        <v>1.64</v>
      </c>
      <c r="K63" s="5">
        <v>0</v>
      </c>
      <c r="L63" s="5">
        <v>3.8</v>
      </c>
      <c r="M63" s="5">
        <v>615966.48</v>
      </c>
      <c r="N63" s="5">
        <v>91509.38</v>
      </c>
    </row>
    <row r="64" spans="1:14">
      <c r="A64" s="5" t="s">
        <v>37</v>
      </c>
      <c r="B64" s="6">
        <v>45717</v>
      </c>
      <c r="C64" s="5" t="s">
        <v>24</v>
      </c>
      <c r="D64" s="5" t="s">
        <v>18</v>
      </c>
      <c r="E64" s="5">
        <v>50343.19</v>
      </c>
      <c r="F64" s="5">
        <v>3845</v>
      </c>
      <c r="G64" s="5">
        <v>0.113</v>
      </c>
      <c r="H64" s="5">
        <v>9</v>
      </c>
      <c r="I64" s="5">
        <v>88.7</v>
      </c>
      <c r="J64" s="5">
        <v>5.15</v>
      </c>
      <c r="K64" s="5">
        <v>0</v>
      </c>
      <c r="L64" s="5">
        <v>3.3</v>
      </c>
      <c r="M64" s="5">
        <v>572011.19999999995</v>
      </c>
      <c r="N64" s="5">
        <v>101409.68</v>
      </c>
    </row>
    <row r="65" spans="1:14">
      <c r="A65" s="5" t="s">
        <v>37</v>
      </c>
      <c r="B65" s="6">
        <v>45748</v>
      </c>
      <c r="C65" s="5" t="s">
        <v>24</v>
      </c>
      <c r="D65" s="5" t="s">
        <v>18</v>
      </c>
      <c r="E65" s="5">
        <v>74954.47</v>
      </c>
      <c r="F65" s="5">
        <v>6620</v>
      </c>
      <c r="G65" s="5">
        <v>5.3999999999999999E-2</v>
      </c>
      <c r="H65" s="5">
        <v>17</v>
      </c>
      <c r="I65" s="5">
        <v>91.1</v>
      </c>
      <c r="J65" s="5">
        <v>1.1100000000000001</v>
      </c>
      <c r="K65" s="5">
        <v>0</v>
      </c>
      <c r="L65" s="5">
        <v>3.5</v>
      </c>
      <c r="M65" s="5">
        <v>761860.19</v>
      </c>
      <c r="N65" s="5">
        <v>133279.38</v>
      </c>
    </row>
    <row r="66" spans="1:14">
      <c r="A66" s="5" t="s">
        <v>38</v>
      </c>
      <c r="B66" s="6">
        <v>45658</v>
      </c>
      <c r="C66" s="5" t="s">
        <v>27</v>
      </c>
      <c r="D66" s="5" t="s">
        <v>18</v>
      </c>
      <c r="E66" s="5">
        <v>70040.31</v>
      </c>
      <c r="F66" s="5">
        <v>9175</v>
      </c>
      <c r="G66" s="5">
        <v>0.107</v>
      </c>
      <c r="H66" s="5">
        <v>23</v>
      </c>
      <c r="I66" s="5">
        <v>95.1</v>
      </c>
      <c r="J66" s="5">
        <v>6.08</v>
      </c>
      <c r="K66" s="5">
        <v>1</v>
      </c>
      <c r="L66" s="5">
        <v>3.4</v>
      </c>
      <c r="M66" s="5">
        <v>784502.68</v>
      </c>
      <c r="N66" s="5">
        <v>129519.72</v>
      </c>
    </row>
    <row r="67" spans="1:14">
      <c r="A67" s="5" t="s">
        <v>38</v>
      </c>
      <c r="B67" s="6">
        <v>45689</v>
      </c>
      <c r="C67" s="5" t="s">
        <v>27</v>
      </c>
      <c r="D67" s="5" t="s">
        <v>18</v>
      </c>
      <c r="E67" s="5">
        <v>51148.69</v>
      </c>
      <c r="F67" s="5">
        <v>7940</v>
      </c>
      <c r="G67" s="5">
        <v>0.156</v>
      </c>
      <c r="H67" s="5">
        <v>18</v>
      </c>
      <c r="I67" s="5">
        <v>93.3</v>
      </c>
      <c r="J67" s="5">
        <v>10.91</v>
      </c>
      <c r="K67" s="5">
        <v>0</v>
      </c>
      <c r="L67" s="5">
        <v>3.6</v>
      </c>
      <c r="M67" s="5">
        <v>717141.55</v>
      </c>
      <c r="N67" s="5">
        <v>134013.60999999999</v>
      </c>
    </row>
    <row r="68" spans="1:14">
      <c r="A68" s="5" t="s">
        <v>38</v>
      </c>
      <c r="B68" s="6">
        <v>45717</v>
      </c>
      <c r="C68" s="5" t="s">
        <v>27</v>
      </c>
      <c r="D68" s="5" t="s">
        <v>18</v>
      </c>
      <c r="E68" s="5">
        <v>79346.100000000006</v>
      </c>
      <c r="F68" s="5">
        <v>9628</v>
      </c>
      <c r="G68" s="5">
        <v>0.10199999999999999</v>
      </c>
      <c r="H68" s="5">
        <v>20</v>
      </c>
      <c r="I68" s="5">
        <v>99</v>
      </c>
      <c r="J68" s="5">
        <v>19.010000000000002</v>
      </c>
      <c r="K68" s="5">
        <v>1</v>
      </c>
      <c r="L68" s="5">
        <v>3.2</v>
      </c>
      <c r="M68" s="5">
        <v>685379.08</v>
      </c>
      <c r="N68" s="5">
        <v>106898.82</v>
      </c>
    </row>
    <row r="69" spans="1:14">
      <c r="A69" s="5" t="s">
        <v>38</v>
      </c>
      <c r="B69" s="6">
        <v>45748</v>
      </c>
      <c r="C69" s="5" t="s">
        <v>27</v>
      </c>
      <c r="D69" s="5" t="s">
        <v>18</v>
      </c>
      <c r="E69" s="5">
        <v>42018.400000000001</v>
      </c>
      <c r="F69" s="5">
        <v>8296</v>
      </c>
      <c r="G69" s="5">
        <v>0.115</v>
      </c>
      <c r="H69" s="5">
        <v>17</v>
      </c>
      <c r="I69" s="5">
        <v>91.8</v>
      </c>
      <c r="J69" s="5">
        <v>0.77</v>
      </c>
      <c r="K69" s="5">
        <v>0</v>
      </c>
      <c r="L69" s="5">
        <v>3.4</v>
      </c>
      <c r="M69" s="5">
        <v>740496.65</v>
      </c>
      <c r="N69" s="5">
        <v>128020.9</v>
      </c>
    </row>
    <row r="70" spans="1:14">
      <c r="A70" s="5" t="s">
        <v>39</v>
      </c>
      <c r="B70" s="6">
        <v>45658</v>
      </c>
      <c r="C70" s="5" t="s">
        <v>15</v>
      </c>
      <c r="D70" s="5" t="s">
        <v>18</v>
      </c>
      <c r="E70" s="5">
        <v>70937.240000000005</v>
      </c>
      <c r="F70" s="5">
        <v>3595</v>
      </c>
      <c r="G70" s="5">
        <v>0.14099999999999999</v>
      </c>
      <c r="H70" s="5">
        <v>11</v>
      </c>
      <c r="I70" s="5">
        <v>88.9</v>
      </c>
      <c r="J70" s="5">
        <v>2.83</v>
      </c>
      <c r="K70" s="5">
        <v>1</v>
      </c>
      <c r="L70" s="5">
        <v>3.3</v>
      </c>
      <c r="M70" s="5">
        <v>661927.14</v>
      </c>
      <c r="N70" s="5">
        <v>79218.570000000007</v>
      </c>
    </row>
    <row r="71" spans="1:14">
      <c r="A71" s="5" t="s">
        <v>39</v>
      </c>
      <c r="B71" s="6">
        <v>45689</v>
      </c>
      <c r="C71" s="5" t="s">
        <v>15</v>
      </c>
      <c r="D71" s="5" t="s">
        <v>18</v>
      </c>
      <c r="E71" s="5">
        <v>36813.449999999997</v>
      </c>
      <c r="F71" s="5">
        <v>2834</v>
      </c>
      <c r="G71" s="5">
        <v>0.191</v>
      </c>
      <c r="H71" s="5">
        <v>11</v>
      </c>
      <c r="I71" s="5">
        <v>81.8</v>
      </c>
      <c r="J71" s="5">
        <v>2.33</v>
      </c>
      <c r="K71" s="5">
        <v>0</v>
      </c>
      <c r="L71" s="5">
        <v>3.3</v>
      </c>
      <c r="M71" s="5">
        <v>479050.5</v>
      </c>
      <c r="N71" s="5">
        <v>53651.11</v>
      </c>
    </row>
    <row r="72" spans="1:14">
      <c r="A72" s="5" t="s">
        <v>39</v>
      </c>
      <c r="B72" s="6">
        <v>45717</v>
      </c>
      <c r="C72" s="5" t="s">
        <v>15</v>
      </c>
      <c r="D72" s="5" t="s">
        <v>18</v>
      </c>
      <c r="E72" s="5">
        <v>60571.82</v>
      </c>
      <c r="F72" s="5">
        <v>3193</v>
      </c>
      <c r="G72" s="5">
        <v>0.19700000000000001</v>
      </c>
      <c r="H72" s="5">
        <v>7</v>
      </c>
      <c r="I72" s="5">
        <v>99</v>
      </c>
      <c r="J72" s="5">
        <v>1.43</v>
      </c>
      <c r="K72" s="5">
        <v>0</v>
      </c>
      <c r="L72" s="5">
        <v>3.2</v>
      </c>
      <c r="M72" s="5">
        <v>605023.87</v>
      </c>
      <c r="N72" s="5">
        <v>98545.81</v>
      </c>
    </row>
    <row r="73" spans="1:14">
      <c r="A73" s="5" t="s">
        <v>39</v>
      </c>
      <c r="B73" s="6">
        <v>45748</v>
      </c>
      <c r="C73" s="5" t="s">
        <v>15</v>
      </c>
      <c r="D73" s="5" t="s">
        <v>18</v>
      </c>
      <c r="E73" s="5">
        <v>55081.16</v>
      </c>
      <c r="F73" s="5">
        <v>5485</v>
      </c>
      <c r="G73" s="5">
        <v>3.5999999999999997E-2</v>
      </c>
      <c r="H73" s="5">
        <v>12</v>
      </c>
      <c r="I73" s="5">
        <v>88</v>
      </c>
      <c r="J73" s="5"/>
      <c r="K73" s="5">
        <v>0</v>
      </c>
      <c r="L73" s="5">
        <v>3.5</v>
      </c>
      <c r="M73" s="5">
        <v>674774.09</v>
      </c>
      <c r="N73" s="5">
        <v>141917.59</v>
      </c>
    </row>
    <row r="74" spans="1:14">
      <c r="A74" s="5" t="s">
        <v>40</v>
      </c>
      <c r="B74" s="6">
        <v>45658</v>
      </c>
      <c r="C74" s="5" t="s">
        <v>15</v>
      </c>
      <c r="D74" s="5" t="s">
        <v>16</v>
      </c>
      <c r="E74" s="5">
        <v>46201.46</v>
      </c>
      <c r="F74" s="5">
        <v>5918</v>
      </c>
      <c r="G74" s="5">
        <v>0.27700000000000002</v>
      </c>
      <c r="H74" s="5">
        <v>13</v>
      </c>
      <c r="I74" s="5">
        <v>78.8</v>
      </c>
      <c r="J74" s="5">
        <v>4.91</v>
      </c>
      <c r="K74" s="5">
        <v>0</v>
      </c>
      <c r="L74" s="5">
        <v>4.5</v>
      </c>
      <c r="M74" s="5">
        <v>616069.41</v>
      </c>
      <c r="N74" s="5">
        <v>54453.99</v>
      </c>
    </row>
    <row r="75" spans="1:14">
      <c r="A75" s="5" t="s">
        <v>40</v>
      </c>
      <c r="B75" s="6">
        <v>45689</v>
      </c>
      <c r="C75" s="5" t="s">
        <v>15</v>
      </c>
      <c r="D75" s="5" t="s">
        <v>16</v>
      </c>
      <c r="E75" s="5">
        <v>53762.92</v>
      </c>
      <c r="F75" s="5">
        <v>6821</v>
      </c>
      <c r="G75" s="5">
        <v>6.6000000000000003E-2</v>
      </c>
      <c r="H75" s="5">
        <v>19</v>
      </c>
      <c r="I75" s="5">
        <v>94.6</v>
      </c>
      <c r="J75" s="5">
        <v>7.03</v>
      </c>
      <c r="K75" s="5">
        <v>0</v>
      </c>
      <c r="L75" s="5">
        <v>4.4000000000000004</v>
      </c>
      <c r="M75" s="5">
        <v>630829.93999999994</v>
      </c>
      <c r="N75" s="5">
        <v>117090.02</v>
      </c>
    </row>
    <row r="76" spans="1:14">
      <c r="A76" s="5" t="s">
        <v>40</v>
      </c>
      <c r="B76" s="6">
        <v>45717</v>
      </c>
      <c r="C76" s="5" t="s">
        <v>15</v>
      </c>
      <c r="D76" s="5" t="s">
        <v>16</v>
      </c>
      <c r="E76" s="5">
        <v>70144.78</v>
      </c>
      <c r="F76" s="5">
        <v>6806</v>
      </c>
      <c r="G76" s="5">
        <v>0.17799999999999999</v>
      </c>
      <c r="H76" s="5">
        <v>20</v>
      </c>
      <c r="I76" s="5">
        <v>93.1</v>
      </c>
      <c r="J76" s="5">
        <v>0.28000000000000003</v>
      </c>
      <c r="K76" s="5">
        <v>1</v>
      </c>
      <c r="L76" s="5">
        <v>4.3</v>
      </c>
      <c r="M76" s="5">
        <v>788087.68</v>
      </c>
      <c r="N76" s="5">
        <v>116803.42</v>
      </c>
    </row>
    <row r="77" spans="1:14">
      <c r="A77" s="5" t="s">
        <v>40</v>
      </c>
      <c r="B77" s="6">
        <v>45748</v>
      </c>
      <c r="C77" s="5" t="s">
        <v>15</v>
      </c>
      <c r="D77" s="5" t="s">
        <v>16</v>
      </c>
      <c r="E77" s="5">
        <v>58749.63</v>
      </c>
      <c r="F77" s="5">
        <v>8252</v>
      </c>
      <c r="G77" s="5">
        <v>0.20300000000000001</v>
      </c>
      <c r="H77" s="5">
        <v>20</v>
      </c>
      <c r="I77" s="5">
        <v>85.2</v>
      </c>
      <c r="J77" s="5">
        <v>3.61</v>
      </c>
      <c r="K77" s="5">
        <v>0</v>
      </c>
      <c r="L77" s="5">
        <v>4.5</v>
      </c>
      <c r="M77" s="5">
        <v>680840.36</v>
      </c>
      <c r="N77" s="5">
        <v>68007.679999999993</v>
      </c>
    </row>
    <row r="78" spans="1:14">
      <c r="A78" s="5" t="s">
        <v>41</v>
      </c>
      <c r="B78" s="6">
        <v>45658</v>
      </c>
      <c r="C78" s="5" t="s">
        <v>24</v>
      </c>
      <c r="D78" s="5" t="s">
        <v>18</v>
      </c>
      <c r="E78" s="5">
        <v>56973.18</v>
      </c>
      <c r="F78" s="5">
        <v>6662</v>
      </c>
      <c r="G78" s="5">
        <v>0.1</v>
      </c>
      <c r="H78" s="5">
        <v>15</v>
      </c>
      <c r="I78" s="5">
        <v>77.7</v>
      </c>
      <c r="J78" s="5">
        <v>7.52</v>
      </c>
      <c r="K78" s="5">
        <v>1</v>
      </c>
      <c r="L78" s="5">
        <v>3.2</v>
      </c>
      <c r="M78" s="5">
        <v>643657.47</v>
      </c>
      <c r="N78" s="5">
        <v>87022.45</v>
      </c>
    </row>
    <row r="79" spans="1:14">
      <c r="A79" s="5" t="s">
        <v>41</v>
      </c>
      <c r="B79" s="6">
        <v>45689</v>
      </c>
      <c r="C79" s="5" t="s">
        <v>24</v>
      </c>
      <c r="D79" s="5" t="s">
        <v>18</v>
      </c>
      <c r="E79" s="5">
        <v>54872.82</v>
      </c>
      <c r="F79" s="5">
        <v>5962</v>
      </c>
      <c r="G79" s="5">
        <v>6.4000000000000001E-2</v>
      </c>
      <c r="H79" s="5">
        <v>12</v>
      </c>
      <c r="I79" s="5">
        <v>85.4</v>
      </c>
      <c r="J79" s="5">
        <v>2.58</v>
      </c>
      <c r="K79" s="5">
        <v>0</v>
      </c>
      <c r="L79" s="5">
        <v>2.9</v>
      </c>
      <c r="M79" s="5">
        <v>691112.6</v>
      </c>
      <c r="N79" s="5">
        <v>109212.83</v>
      </c>
    </row>
    <row r="80" spans="1:14">
      <c r="A80" s="5" t="s">
        <v>41</v>
      </c>
      <c r="B80" s="6">
        <v>45717</v>
      </c>
      <c r="C80" s="5" t="s">
        <v>24</v>
      </c>
      <c r="D80" s="5" t="s">
        <v>18</v>
      </c>
      <c r="E80" s="5">
        <v>80562.81</v>
      </c>
      <c r="F80" s="5">
        <v>7470</v>
      </c>
      <c r="G80" s="5">
        <v>0.17199999999999999</v>
      </c>
      <c r="H80" s="5">
        <v>16</v>
      </c>
      <c r="I80" s="5">
        <v>83.5</v>
      </c>
      <c r="J80" s="5">
        <v>2.29</v>
      </c>
      <c r="K80" s="5">
        <v>0</v>
      </c>
      <c r="L80" s="5">
        <v>3.3</v>
      </c>
      <c r="M80" s="5">
        <v>776922.17</v>
      </c>
      <c r="N80" s="5">
        <v>150701.93</v>
      </c>
    </row>
    <row r="81" spans="1:14">
      <c r="A81" s="5" t="s">
        <v>41</v>
      </c>
      <c r="B81" s="6">
        <v>45748</v>
      </c>
      <c r="C81" s="5" t="s">
        <v>24</v>
      </c>
      <c r="D81" s="5" t="s">
        <v>18</v>
      </c>
      <c r="E81" s="5">
        <v>77999.899999999994</v>
      </c>
      <c r="F81" s="5">
        <v>5974</v>
      </c>
      <c r="G81" s="5">
        <v>0.252</v>
      </c>
      <c r="H81" s="5">
        <v>14</v>
      </c>
      <c r="I81" s="5">
        <v>81.3</v>
      </c>
      <c r="J81" s="5">
        <v>2.39</v>
      </c>
      <c r="K81" s="5">
        <v>0</v>
      </c>
      <c r="L81" s="5">
        <v>3.2</v>
      </c>
      <c r="M81" s="5">
        <v>636561.34</v>
      </c>
      <c r="N81" s="5">
        <v>93861.06</v>
      </c>
    </row>
    <row r="82" spans="1:14">
      <c r="A82" s="5" t="s">
        <v>42</v>
      </c>
      <c r="B82" s="6">
        <v>45658</v>
      </c>
      <c r="C82" s="5" t="s">
        <v>27</v>
      </c>
      <c r="D82" s="5" t="s">
        <v>28</v>
      </c>
      <c r="E82" s="5">
        <v>60881.01</v>
      </c>
      <c r="F82" s="5">
        <v>5410</v>
      </c>
      <c r="G82" s="5">
        <v>0.17899999999999999</v>
      </c>
      <c r="H82" s="5">
        <v>15</v>
      </c>
      <c r="I82" s="5">
        <v>83.9</v>
      </c>
      <c r="J82" s="5">
        <v>5.24</v>
      </c>
      <c r="K82" s="5">
        <v>0</v>
      </c>
      <c r="L82" s="5">
        <v>4.5999999999999996</v>
      </c>
      <c r="M82" s="5">
        <v>621369.57999999996</v>
      </c>
      <c r="N82" s="5">
        <v>85493.64</v>
      </c>
    </row>
    <row r="83" spans="1:14">
      <c r="A83" s="5" t="s">
        <v>42</v>
      </c>
      <c r="B83" s="6">
        <v>45689</v>
      </c>
      <c r="C83" s="5" t="s">
        <v>27</v>
      </c>
      <c r="D83" s="5" t="s">
        <v>28</v>
      </c>
      <c r="E83" s="5">
        <v>60628.38</v>
      </c>
      <c r="F83" s="5">
        <v>4451</v>
      </c>
      <c r="G83" s="5">
        <v>9.5000000000000001E-2</v>
      </c>
      <c r="H83" s="5">
        <v>10</v>
      </c>
      <c r="I83" s="5">
        <v>89.6</v>
      </c>
      <c r="J83" s="5">
        <v>3.17</v>
      </c>
      <c r="K83" s="5">
        <v>0</v>
      </c>
      <c r="L83" s="5">
        <v>4.5999999999999996</v>
      </c>
      <c r="M83" s="5">
        <v>682208.01</v>
      </c>
      <c r="N83" s="5">
        <v>110318.84</v>
      </c>
    </row>
    <row r="84" spans="1:14">
      <c r="A84" s="5" t="s">
        <v>42</v>
      </c>
      <c r="B84" s="6">
        <v>45717</v>
      </c>
      <c r="C84" s="5" t="s">
        <v>27</v>
      </c>
      <c r="D84" s="5" t="s">
        <v>28</v>
      </c>
      <c r="E84" s="5">
        <v>72731.14</v>
      </c>
      <c r="F84" s="5">
        <v>4644</v>
      </c>
      <c r="G84" s="5">
        <v>8.4000000000000005E-2</v>
      </c>
      <c r="H84" s="5">
        <v>15</v>
      </c>
      <c r="I84" s="5">
        <v>87.1</v>
      </c>
      <c r="J84" s="5">
        <v>2.66</v>
      </c>
      <c r="K84" s="5">
        <v>0</v>
      </c>
      <c r="L84" s="5">
        <v>4.5999999999999996</v>
      </c>
      <c r="M84" s="5">
        <v>727241.86</v>
      </c>
      <c r="N84" s="5">
        <v>155810.29999999999</v>
      </c>
    </row>
    <row r="85" spans="1:14">
      <c r="A85" s="5" t="s">
        <v>42</v>
      </c>
      <c r="B85" s="6">
        <v>45748</v>
      </c>
      <c r="C85" s="5" t="s">
        <v>27</v>
      </c>
      <c r="D85" s="5" t="s">
        <v>28</v>
      </c>
      <c r="E85" s="5">
        <v>36475.71</v>
      </c>
      <c r="F85" s="5">
        <v>3559</v>
      </c>
      <c r="G85" s="5">
        <v>0.03</v>
      </c>
      <c r="H85" s="5">
        <v>8</v>
      </c>
      <c r="I85" s="5">
        <v>83.6</v>
      </c>
      <c r="J85" s="5">
        <v>1.41</v>
      </c>
      <c r="K85" s="5">
        <v>0</v>
      </c>
      <c r="L85" s="5">
        <v>4.2</v>
      </c>
      <c r="M85" s="5">
        <v>569100.78</v>
      </c>
      <c r="N85" s="5">
        <v>104808.78</v>
      </c>
    </row>
    <row r="86" spans="1:14">
      <c r="A86" s="5" t="s">
        <v>43</v>
      </c>
      <c r="B86" s="6">
        <v>45658</v>
      </c>
      <c r="C86" s="5" t="s">
        <v>27</v>
      </c>
      <c r="D86" s="5" t="s">
        <v>18</v>
      </c>
      <c r="E86" s="5">
        <v>55388.11</v>
      </c>
      <c r="F86" s="5">
        <v>3091</v>
      </c>
      <c r="G86" s="5">
        <v>0.108</v>
      </c>
      <c r="H86" s="5">
        <v>7</v>
      </c>
      <c r="I86" s="5">
        <v>85.4</v>
      </c>
      <c r="J86" s="5">
        <v>7.34</v>
      </c>
      <c r="K86" s="5">
        <v>0</v>
      </c>
      <c r="L86" s="5">
        <v>4.9000000000000004</v>
      </c>
      <c r="M86" s="5">
        <v>574436.29</v>
      </c>
      <c r="N86" s="5">
        <v>80271.990000000005</v>
      </c>
    </row>
    <row r="87" spans="1:14">
      <c r="A87" s="5" t="s">
        <v>43</v>
      </c>
      <c r="B87" s="6">
        <v>45689</v>
      </c>
      <c r="C87" s="5" t="s">
        <v>27</v>
      </c>
      <c r="D87" s="5" t="s">
        <v>18</v>
      </c>
      <c r="E87" s="5">
        <v>88443.77</v>
      </c>
      <c r="F87" s="5">
        <v>4004</v>
      </c>
      <c r="G87" s="5">
        <v>0.20599999999999999</v>
      </c>
      <c r="H87" s="5">
        <v>11</v>
      </c>
      <c r="I87" s="5">
        <v>91.9</v>
      </c>
      <c r="J87" s="5">
        <v>5.95</v>
      </c>
      <c r="K87" s="5">
        <v>0</v>
      </c>
      <c r="L87" s="5"/>
      <c r="M87" s="5">
        <v>611766.72</v>
      </c>
      <c r="N87" s="5">
        <v>88275.61</v>
      </c>
    </row>
    <row r="88" spans="1:14">
      <c r="A88" s="5" t="s">
        <v>43</v>
      </c>
      <c r="B88" s="6">
        <v>45717</v>
      </c>
      <c r="C88" s="5" t="s">
        <v>27</v>
      </c>
      <c r="D88" s="5" t="s">
        <v>18</v>
      </c>
      <c r="E88" s="5">
        <v>78231.91</v>
      </c>
      <c r="F88" s="5">
        <v>3788</v>
      </c>
      <c r="G88" s="5">
        <v>5.8999999999999997E-2</v>
      </c>
      <c r="H88" s="5">
        <v>11</v>
      </c>
      <c r="I88" s="5">
        <v>88.5</v>
      </c>
      <c r="J88" s="5">
        <v>15.51</v>
      </c>
      <c r="K88" s="5">
        <v>0</v>
      </c>
      <c r="L88" s="5">
        <v>4.3</v>
      </c>
      <c r="M88" s="5">
        <v>614596.31999999995</v>
      </c>
      <c r="N88" s="5">
        <v>131199.41</v>
      </c>
    </row>
    <row r="89" spans="1:14">
      <c r="A89" s="5" t="s">
        <v>43</v>
      </c>
      <c r="B89" s="6">
        <v>45748</v>
      </c>
      <c r="C89" s="5" t="s">
        <v>27</v>
      </c>
      <c r="D89" s="5" t="s">
        <v>18</v>
      </c>
      <c r="E89" s="5">
        <v>18996.32</v>
      </c>
      <c r="F89" s="5">
        <v>1260</v>
      </c>
      <c r="G89" s="5">
        <v>0.14499999999999999</v>
      </c>
      <c r="H89" s="5">
        <v>9</v>
      </c>
      <c r="I89" s="5">
        <v>86.4</v>
      </c>
      <c r="J89" s="5">
        <v>4.3099999999999996</v>
      </c>
      <c r="K89" s="5">
        <v>0</v>
      </c>
      <c r="L89" s="5">
        <v>4.5999999999999996</v>
      </c>
      <c r="M89" s="5">
        <v>450711.92</v>
      </c>
      <c r="N89" s="5">
        <v>90043.76</v>
      </c>
    </row>
    <row r="90" spans="1:14">
      <c r="A90" s="5" t="s">
        <v>44</v>
      </c>
      <c r="B90" s="6">
        <v>45658</v>
      </c>
      <c r="C90" s="5" t="s">
        <v>24</v>
      </c>
      <c r="D90" s="5" t="s">
        <v>28</v>
      </c>
      <c r="E90" s="5">
        <v>50517.94</v>
      </c>
      <c r="F90" s="5">
        <v>7024</v>
      </c>
      <c r="G90" s="5">
        <v>2.9000000000000001E-2</v>
      </c>
      <c r="H90" s="5">
        <v>18</v>
      </c>
      <c r="I90" s="5">
        <v>79.2</v>
      </c>
      <c r="J90" s="5">
        <v>6.61</v>
      </c>
      <c r="K90" s="5">
        <v>1</v>
      </c>
      <c r="L90" s="5">
        <v>4.0999999999999996</v>
      </c>
      <c r="M90" s="5">
        <v>711213.46</v>
      </c>
      <c r="N90" s="5">
        <v>105863.26</v>
      </c>
    </row>
    <row r="91" spans="1:14">
      <c r="A91" s="5" t="s">
        <v>44</v>
      </c>
      <c r="B91" s="6">
        <v>45689</v>
      </c>
      <c r="C91" s="5" t="s">
        <v>24</v>
      </c>
      <c r="D91" s="5" t="s">
        <v>28</v>
      </c>
      <c r="E91" s="5">
        <v>141540.29</v>
      </c>
      <c r="F91" s="5">
        <v>5400</v>
      </c>
      <c r="G91" s="5">
        <v>1.2999999999999999E-2</v>
      </c>
      <c r="H91" s="5">
        <v>12</v>
      </c>
      <c r="I91" s="5">
        <v>87</v>
      </c>
      <c r="J91" s="5">
        <v>4.26</v>
      </c>
      <c r="K91" s="5">
        <v>0</v>
      </c>
      <c r="L91" s="5">
        <v>4.5</v>
      </c>
      <c r="M91" s="5">
        <v>627171.9</v>
      </c>
      <c r="N91" s="5">
        <v>105772.75</v>
      </c>
    </row>
    <row r="92" spans="1:14">
      <c r="A92" s="5" t="s">
        <v>44</v>
      </c>
      <c r="B92" s="6">
        <v>45717</v>
      </c>
      <c r="C92" s="5" t="s">
        <v>24</v>
      </c>
      <c r="D92" s="5" t="s">
        <v>28</v>
      </c>
      <c r="E92" s="5">
        <v>82116.19</v>
      </c>
      <c r="F92" s="5">
        <v>5988</v>
      </c>
      <c r="G92" s="5">
        <v>0.04</v>
      </c>
      <c r="H92" s="5">
        <v>17</v>
      </c>
      <c r="I92" s="5">
        <v>91.8</v>
      </c>
      <c r="J92" s="5">
        <v>5.75</v>
      </c>
      <c r="K92" s="5">
        <v>0</v>
      </c>
      <c r="L92" s="5">
        <v>4.7</v>
      </c>
      <c r="M92" s="5">
        <v>739852.58</v>
      </c>
      <c r="N92" s="5">
        <v>129386.43</v>
      </c>
    </row>
    <row r="93" spans="1:14">
      <c r="A93" s="5" t="s">
        <v>44</v>
      </c>
      <c r="B93" s="6">
        <v>45748</v>
      </c>
      <c r="C93" s="5" t="s">
        <v>24</v>
      </c>
      <c r="D93" s="5" t="s">
        <v>28</v>
      </c>
      <c r="E93" s="5">
        <v>31207.51</v>
      </c>
      <c r="F93" s="5">
        <v>3701</v>
      </c>
      <c r="G93" s="5">
        <v>4.2999999999999997E-2</v>
      </c>
      <c r="H93" s="5">
        <v>11</v>
      </c>
      <c r="I93" s="5">
        <v>84.7</v>
      </c>
      <c r="J93" s="5">
        <v>0.33</v>
      </c>
      <c r="K93" s="5">
        <v>0</v>
      </c>
      <c r="L93" s="5">
        <v>4.3</v>
      </c>
      <c r="M93" s="5">
        <v>586307.22</v>
      </c>
      <c r="N93" s="5">
        <v>73927.850000000006</v>
      </c>
    </row>
    <row r="94" spans="1:14">
      <c r="A94" s="5" t="s">
        <v>45</v>
      </c>
      <c r="B94" s="6">
        <v>45658</v>
      </c>
      <c r="C94" s="5" t="s">
        <v>27</v>
      </c>
      <c r="D94" s="5" t="s">
        <v>16</v>
      </c>
      <c r="E94" s="5">
        <v>38966.589999999997</v>
      </c>
      <c r="F94" s="5">
        <v>4509</v>
      </c>
      <c r="G94" s="5">
        <v>0.19400000000000001</v>
      </c>
      <c r="H94" s="5">
        <v>14</v>
      </c>
      <c r="I94" s="5">
        <v>91.1</v>
      </c>
      <c r="J94" s="5">
        <v>2.92</v>
      </c>
      <c r="K94" s="5">
        <v>0</v>
      </c>
      <c r="L94" s="5">
        <v>4.5999999999999996</v>
      </c>
      <c r="M94" s="5">
        <v>585937.48</v>
      </c>
      <c r="N94" s="5">
        <v>82624.2</v>
      </c>
    </row>
    <row r="95" spans="1:14">
      <c r="A95" s="5" t="s">
        <v>45</v>
      </c>
      <c r="B95" s="6">
        <v>45689</v>
      </c>
      <c r="C95" s="5" t="s">
        <v>27</v>
      </c>
      <c r="D95" s="5" t="s">
        <v>16</v>
      </c>
      <c r="E95" s="5">
        <v>67439.3</v>
      </c>
      <c r="F95" s="5">
        <v>6477</v>
      </c>
      <c r="G95" s="5">
        <v>0</v>
      </c>
      <c r="H95" s="5">
        <v>16</v>
      </c>
      <c r="I95" s="5">
        <v>90.9</v>
      </c>
      <c r="J95" s="5">
        <v>1.64</v>
      </c>
      <c r="K95" s="5">
        <v>0</v>
      </c>
      <c r="L95" s="5">
        <v>4.5</v>
      </c>
      <c r="M95" s="5">
        <v>753473.55</v>
      </c>
      <c r="N95" s="5">
        <v>151527.22</v>
      </c>
    </row>
    <row r="96" spans="1:14">
      <c r="A96" s="5" t="s">
        <v>45</v>
      </c>
      <c r="B96" s="6">
        <v>45717</v>
      </c>
      <c r="C96" s="5" t="s">
        <v>27</v>
      </c>
      <c r="D96" s="5" t="s">
        <v>16</v>
      </c>
      <c r="E96" s="5">
        <v>86421.88</v>
      </c>
      <c r="F96" s="5">
        <v>7970</v>
      </c>
      <c r="G96" s="5">
        <v>7.2999999999999995E-2</v>
      </c>
      <c r="H96" s="5">
        <v>17</v>
      </c>
      <c r="I96" s="5">
        <v>91.3</v>
      </c>
      <c r="J96" s="5">
        <v>0.8</v>
      </c>
      <c r="K96" s="5">
        <v>0</v>
      </c>
      <c r="L96" s="5">
        <v>5</v>
      </c>
      <c r="M96" s="5">
        <v>838250.32</v>
      </c>
      <c r="N96" s="5">
        <v>122939.34</v>
      </c>
    </row>
    <row r="97" spans="1:14">
      <c r="A97" s="5" t="s">
        <v>45</v>
      </c>
      <c r="B97" s="6">
        <v>45748</v>
      </c>
      <c r="C97" s="5" t="s">
        <v>27</v>
      </c>
      <c r="D97" s="5" t="s">
        <v>16</v>
      </c>
      <c r="E97" s="5">
        <v>9534.65</v>
      </c>
      <c r="F97" s="5">
        <v>6057</v>
      </c>
      <c r="G97" s="5">
        <v>7.3999999999999996E-2</v>
      </c>
      <c r="H97" s="5">
        <v>15</v>
      </c>
      <c r="I97" s="5">
        <v>94.1</v>
      </c>
      <c r="J97" s="5">
        <v>5.79</v>
      </c>
      <c r="K97" s="5">
        <v>0</v>
      </c>
      <c r="L97" s="5">
        <v>4.5</v>
      </c>
      <c r="M97" s="5">
        <v>607898.12</v>
      </c>
      <c r="N97" s="5">
        <v>135404.85</v>
      </c>
    </row>
    <row r="98" spans="1:14">
      <c r="A98" s="5" t="s">
        <v>46</v>
      </c>
      <c r="B98" s="6">
        <v>45658</v>
      </c>
      <c r="C98" s="5" t="s">
        <v>27</v>
      </c>
      <c r="D98" s="5" t="s">
        <v>28</v>
      </c>
      <c r="E98" s="5">
        <v>61132.07</v>
      </c>
      <c r="F98" s="5">
        <v>6394</v>
      </c>
      <c r="G98" s="5">
        <v>0.16300000000000001</v>
      </c>
      <c r="H98" s="5">
        <v>19</v>
      </c>
      <c r="I98" s="5">
        <v>91</v>
      </c>
      <c r="J98" s="5">
        <v>19.600000000000001</v>
      </c>
      <c r="K98" s="5">
        <v>0</v>
      </c>
      <c r="L98" s="5">
        <v>4.4000000000000004</v>
      </c>
      <c r="M98" s="5">
        <v>691113.62</v>
      </c>
      <c r="N98" s="5">
        <v>135145.44</v>
      </c>
    </row>
    <row r="99" spans="1:14">
      <c r="A99" s="5" t="s">
        <v>46</v>
      </c>
      <c r="B99" s="6">
        <v>45689</v>
      </c>
      <c r="C99" s="5" t="s">
        <v>27</v>
      </c>
      <c r="D99" s="5" t="s">
        <v>28</v>
      </c>
      <c r="E99" s="5">
        <v>78839.39</v>
      </c>
      <c r="F99" s="5">
        <v>5150</v>
      </c>
      <c r="G99" s="5">
        <v>0.17100000000000001</v>
      </c>
      <c r="H99" s="5">
        <v>13</v>
      </c>
      <c r="I99" s="5">
        <v>85.8</v>
      </c>
      <c r="J99" s="5">
        <v>7.57</v>
      </c>
      <c r="K99" s="5">
        <v>0</v>
      </c>
      <c r="L99" s="5">
        <v>4.3</v>
      </c>
      <c r="M99" s="5">
        <v>735509.4</v>
      </c>
      <c r="N99" s="5">
        <v>83895.96</v>
      </c>
    </row>
    <row r="100" spans="1:14">
      <c r="A100" s="5" t="s">
        <v>46</v>
      </c>
      <c r="B100" s="6">
        <v>45717</v>
      </c>
      <c r="C100" s="5" t="s">
        <v>27</v>
      </c>
      <c r="D100" s="5" t="s">
        <v>28</v>
      </c>
      <c r="E100" s="5">
        <v>38752.800000000003</v>
      </c>
      <c r="F100" s="5">
        <v>4712</v>
      </c>
      <c r="G100" s="5">
        <v>7.4999999999999997E-2</v>
      </c>
      <c r="H100" s="5">
        <v>15</v>
      </c>
      <c r="I100" s="5">
        <v>89.7</v>
      </c>
      <c r="J100" s="5"/>
      <c r="K100" s="5">
        <v>0</v>
      </c>
      <c r="L100" s="5">
        <v>4.3</v>
      </c>
      <c r="M100" s="5">
        <v>605775.32999999996</v>
      </c>
      <c r="N100" s="5">
        <v>107194.6</v>
      </c>
    </row>
    <row r="101" spans="1:14">
      <c r="A101" s="5" t="s">
        <v>46</v>
      </c>
      <c r="B101" s="6">
        <v>45748</v>
      </c>
      <c r="C101" s="5" t="s">
        <v>27</v>
      </c>
      <c r="D101" s="5" t="s">
        <v>28</v>
      </c>
      <c r="E101" s="5">
        <v>55101.1</v>
      </c>
      <c r="F101" s="5">
        <v>5281</v>
      </c>
      <c r="G101" s="5">
        <v>0.189</v>
      </c>
      <c r="H101" s="5">
        <v>11</v>
      </c>
      <c r="I101" s="5">
        <v>91</v>
      </c>
      <c r="J101" s="5">
        <v>2.7</v>
      </c>
      <c r="K101" s="5">
        <v>0</v>
      </c>
      <c r="L101" s="5">
        <v>4.4000000000000004</v>
      </c>
      <c r="M101" s="5">
        <v>675177.68</v>
      </c>
      <c r="N101" s="5">
        <v>105628.68</v>
      </c>
    </row>
    <row r="102" spans="1:14">
      <c r="A102" s="5" t="s">
        <v>47</v>
      </c>
      <c r="B102" s="6">
        <v>45658</v>
      </c>
      <c r="C102" s="5" t="s">
        <v>15</v>
      </c>
      <c r="D102" s="5" t="s">
        <v>28</v>
      </c>
      <c r="E102" s="5">
        <v>53084.76</v>
      </c>
      <c r="F102" s="5">
        <v>3642</v>
      </c>
      <c r="G102" s="5">
        <v>0.15</v>
      </c>
      <c r="H102" s="5">
        <v>12</v>
      </c>
      <c r="I102" s="5">
        <v>91.4</v>
      </c>
      <c r="J102" s="5">
        <v>0.2</v>
      </c>
      <c r="K102" s="5">
        <v>0</v>
      </c>
      <c r="L102" s="5">
        <v>4.4000000000000004</v>
      </c>
      <c r="M102" s="5">
        <v>635181.35</v>
      </c>
      <c r="N102" s="5">
        <v>83341.25</v>
      </c>
    </row>
    <row r="103" spans="1:14">
      <c r="A103" s="5" t="s">
        <v>47</v>
      </c>
      <c r="B103" s="6">
        <v>45689</v>
      </c>
      <c r="C103" s="5" t="s">
        <v>15</v>
      </c>
      <c r="D103" s="5" t="s">
        <v>28</v>
      </c>
      <c r="E103" s="5">
        <v>63101.59</v>
      </c>
      <c r="F103" s="5">
        <v>4373</v>
      </c>
      <c r="G103" s="5">
        <v>0.17299999999999999</v>
      </c>
      <c r="H103" s="5">
        <v>14</v>
      </c>
      <c r="I103" s="5">
        <v>90.4</v>
      </c>
      <c r="J103" s="5">
        <v>7.87</v>
      </c>
      <c r="K103" s="5">
        <v>0</v>
      </c>
      <c r="L103" s="5">
        <v>4.7</v>
      </c>
      <c r="M103" s="5">
        <v>586626.93999999994</v>
      </c>
      <c r="N103" s="5">
        <v>86498.55</v>
      </c>
    </row>
    <row r="104" spans="1:14">
      <c r="A104" s="5" t="s">
        <v>47</v>
      </c>
      <c r="B104" s="6">
        <v>45717</v>
      </c>
      <c r="C104" s="5" t="s">
        <v>15</v>
      </c>
      <c r="D104" s="5" t="s">
        <v>28</v>
      </c>
      <c r="E104" s="5">
        <v>90084.4</v>
      </c>
      <c r="F104" s="5">
        <v>6832</v>
      </c>
      <c r="G104" s="5">
        <v>0.185</v>
      </c>
      <c r="H104" s="5">
        <v>14</v>
      </c>
      <c r="I104" s="5">
        <v>80.5</v>
      </c>
      <c r="J104" s="5">
        <v>0.77</v>
      </c>
      <c r="K104" s="5">
        <v>1</v>
      </c>
      <c r="L104" s="5">
        <v>4.4000000000000004</v>
      </c>
      <c r="M104" s="5">
        <v>740102.64</v>
      </c>
      <c r="N104" s="5">
        <v>114299.07</v>
      </c>
    </row>
    <row r="105" spans="1:14">
      <c r="A105" s="5" t="s">
        <v>47</v>
      </c>
      <c r="B105" s="6">
        <v>45748</v>
      </c>
      <c r="C105" s="5" t="s">
        <v>15</v>
      </c>
      <c r="D105" s="5" t="s">
        <v>28</v>
      </c>
      <c r="E105" s="5">
        <v>32266.639999999999</v>
      </c>
      <c r="F105" s="5">
        <v>2414</v>
      </c>
      <c r="G105" s="5">
        <v>0.08</v>
      </c>
      <c r="H105" s="5">
        <v>7</v>
      </c>
      <c r="I105" s="5">
        <v>92.1</v>
      </c>
      <c r="J105" s="5">
        <v>1.48</v>
      </c>
      <c r="K105" s="5">
        <v>0</v>
      </c>
      <c r="L105" s="5">
        <v>5</v>
      </c>
      <c r="M105" s="5">
        <v>625514.04</v>
      </c>
      <c r="N105" s="5">
        <v>120685.08</v>
      </c>
    </row>
    <row r="106" spans="1:14">
      <c r="A106" s="5" t="s">
        <v>48</v>
      </c>
      <c r="B106" s="6">
        <v>45658</v>
      </c>
      <c r="C106" s="5" t="s">
        <v>27</v>
      </c>
      <c r="D106" s="5" t="s">
        <v>18</v>
      </c>
      <c r="E106" s="5">
        <v>57919.07</v>
      </c>
      <c r="F106" s="5">
        <v>7374</v>
      </c>
      <c r="G106" s="5">
        <v>0.10299999999999999</v>
      </c>
      <c r="H106" s="5">
        <v>21</v>
      </c>
      <c r="I106" s="5">
        <v>82.3</v>
      </c>
      <c r="J106" s="5">
        <v>2.87</v>
      </c>
      <c r="K106" s="5">
        <v>0</v>
      </c>
      <c r="L106" s="5">
        <v>2.9</v>
      </c>
      <c r="M106" s="5">
        <v>727227.2</v>
      </c>
      <c r="N106" s="5">
        <v>121292.01</v>
      </c>
    </row>
    <row r="107" spans="1:14">
      <c r="A107" s="5" t="s">
        <v>48</v>
      </c>
      <c r="B107" s="6">
        <v>45689</v>
      </c>
      <c r="C107" s="5" t="s">
        <v>27</v>
      </c>
      <c r="D107" s="5" t="s">
        <v>18</v>
      </c>
      <c r="E107" s="5">
        <v>74679.350000000006</v>
      </c>
      <c r="F107" s="5">
        <v>8739</v>
      </c>
      <c r="G107" s="5">
        <v>5.6000000000000001E-2</v>
      </c>
      <c r="H107" s="5">
        <v>21</v>
      </c>
      <c r="I107" s="5">
        <v>91.8</v>
      </c>
      <c r="J107" s="5">
        <v>2.83</v>
      </c>
      <c r="K107" s="5">
        <v>0</v>
      </c>
      <c r="L107" s="5">
        <v>3</v>
      </c>
      <c r="M107" s="5">
        <v>783797.89</v>
      </c>
      <c r="N107" s="5">
        <v>157620.70000000001</v>
      </c>
    </row>
    <row r="108" spans="1:14">
      <c r="A108" s="5" t="s">
        <v>48</v>
      </c>
      <c r="B108" s="6">
        <v>45717</v>
      </c>
      <c r="C108" s="5" t="s">
        <v>27</v>
      </c>
      <c r="D108" s="5" t="s">
        <v>18</v>
      </c>
      <c r="E108" s="5">
        <v>64294.23</v>
      </c>
      <c r="F108" s="5">
        <v>6992</v>
      </c>
      <c r="G108" s="5">
        <v>0.13300000000000001</v>
      </c>
      <c r="H108" s="5">
        <v>14</v>
      </c>
      <c r="I108" s="5">
        <v>94.1</v>
      </c>
      <c r="J108" s="5">
        <v>0.25</v>
      </c>
      <c r="K108" s="5">
        <v>0</v>
      </c>
      <c r="L108" s="5">
        <v>3</v>
      </c>
      <c r="M108" s="5">
        <v>795153.84</v>
      </c>
      <c r="N108" s="5">
        <v>143194.21</v>
      </c>
    </row>
    <row r="109" spans="1:14">
      <c r="A109" s="5" t="s">
        <v>48</v>
      </c>
      <c r="B109" s="6">
        <v>45748</v>
      </c>
      <c r="C109" s="5" t="s">
        <v>27</v>
      </c>
      <c r="D109" s="5" t="s">
        <v>18</v>
      </c>
      <c r="E109" s="5">
        <v>31042.03</v>
      </c>
      <c r="F109" s="5">
        <v>7107</v>
      </c>
      <c r="G109" s="5">
        <v>5.0999999999999997E-2</v>
      </c>
      <c r="H109" s="5">
        <v>15</v>
      </c>
      <c r="I109" s="5">
        <v>87</v>
      </c>
      <c r="J109" s="5">
        <v>13.33</v>
      </c>
      <c r="K109" s="5">
        <v>0</v>
      </c>
      <c r="L109" s="5">
        <v>3.2</v>
      </c>
      <c r="M109" s="5">
        <v>665594.93999999994</v>
      </c>
      <c r="N109" s="5">
        <v>127597.34</v>
      </c>
    </row>
    <row r="110" spans="1:14">
      <c r="A110" s="5" t="s">
        <v>49</v>
      </c>
      <c r="B110" s="6">
        <v>45658</v>
      </c>
      <c r="C110" s="5" t="s">
        <v>15</v>
      </c>
      <c r="D110" s="5" t="s">
        <v>28</v>
      </c>
      <c r="E110" s="5">
        <v>75265.02</v>
      </c>
      <c r="F110" s="5">
        <v>6975</v>
      </c>
      <c r="G110" s="5">
        <v>0.157</v>
      </c>
      <c r="H110" s="5">
        <v>20</v>
      </c>
      <c r="I110" s="5">
        <v>73.8</v>
      </c>
      <c r="J110" s="5">
        <v>6.35</v>
      </c>
      <c r="K110" s="5">
        <v>1</v>
      </c>
      <c r="L110" s="5">
        <v>3.8</v>
      </c>
      <c r="M110" s="5">
        <v>709478.39</v>
      </c>
      <c r="N110" s="5">
        <v>71294.27</v>
      </c>
    </row>
    <row r="111" spans="1:14">
      <c r="A111" s="5" t="s">
        <v>49</v>
      </c>
      <c r="B111" s="6">
        <v>45689</v>
      </c>
      <c r="C111" s="5" t="s">
        <v>15</v>
      </c>
      <c r="D111" s="5" t="s">
        <v>28</v>
      </c>
      <c r="E111" s="5">
        <v>69411.7</v>
      </c>
      <c r="F111" s="5">
        <v>5493</v>
      </c>
      <c r="G111" s="5">
        <v>0.29199999999999998</v>
      </c>
      <c r="H111" s="5">
        <v>13</v>
      </c>
      <c r="I111" s="5">
        <v>86.5</v>
      </c>
      <c r="J111" s="5">
        <v>6.69</v>
      </c>
      <c r="K111" s="5">
        <v>0</v>
      </c>
      <c r="L111" s="5">
        <v>3.8</v>
      </c>
      <c r="M111" s="5">
        <v>664162.49</v>
      </c>
      <c r="N111" s="5">
        <v>98291.06</v>
      </c>
    </row>
    <row r="112" spans="1:14">
      <c r="A112" s="5" t="s">
        <v>49</v>
      </c>
      <c r="B112" s="6">
        <v>45717</v>
      </c>
      <c r="C112" s="5" t="s">
        <v>15</v>
      </c>
      <c r="D112" s="5" t="s">
        <v>28</v>
      </c>
      <c r="E112" s="5">
        <v>51056.15</v>
      </c>
      <c r="F112" s="5">
        <v>5686</v>
      </c>
      <c r="G112" s="5">
        <v>8.8999999999999996E-2</v>
      </c>
      <c r="H112" s="5">
        <v>13</v>
      </c>
      <c r="I112" s="5">
        <v>89.9</v>
      </c>
      <c r="J112" s="5">
        <v>1.28</v>
      </c>
      <c r="K112" s="5">
        <v>0</v>
      </c>
      <c r="L112" s="5">
        <v>4.2</v>
      </c>
      <c r="M112" s="5">
        <v>633494.21</v>
      </c>
      <c r="N112" s="5">
        <v>105739.47</v>
      </c>
    </row>
    <row r="113" spans="1:14">
      <c r="A113" s="5" t="s">
        <v>49</v>
      </c>
      <c r="B113" s="6">
        <v>45748</v>
      </c>
      <c r="C113" s="5" t="s">
        <v>15</v>
      </c>
      <c r="D113" s="5" t="s">
        <v>28</v>
      </c>
      <c r="E113" s="5">
        <v>52758.01</v>
      </c>
      <c r="F113" s="5">
        <v>4063</v>
      </c>
      <c r="G113" s="5">
        <v>5.7000000000000002E-2</v>
      </c>
      <c r="H113" s="5">
        <v>12</v>
      </c>
      <c r="I113" s="5">
        <v>91.7</v>
      </c>
      <c r="J113" s="5">
        <v>0.92</v>
      </c>
      <c r="K113" s="5">
        <v>0</v>
      </c>
      <c r="L113" s="5">
        <v>3.5</v>
      </c>
      <c r="M113" s="5">
        <v>713611.16</v>
      </c>
      <c r="N113" s="5">
        <v>129717.18</v>
      </c>
    </row>
    <row r="114" spans="1:14">
      <c r="A114" s="5" t="s">
        <v>50</v>
      </c>
      <c r="B114" s="6">
        <v>45658</v>
      </c>
      <c r="C114" s="5" t="s">
        <v>27</v>
      </c>
      <c r="D114" s="5" t="s">
        <v>28</v>
      </c>
      <c r="E114" s="5">
        <v>61426.04</v>
      </c>
      <c r="F114" s="5">
        <v>8966</v>
      </c>
      <c r="G114" s="5">
        <v>0.17299999999999999</v>
      </c>
      <c r="H114" s="5">
        <v>22</v>
      </c>
      <c r="I114" s="5">
        <v>76.400000000000006</v>
      </c>
      <c r="J114" s="5">
        <v>1.05</v>
      </c>
      <c r="K114" s="5">
        <v>0</v>
      </c>
      <c r="L114" s="5">
        <v>3.1</v>
      </c>
      <c r="M114" s="5">
        <v>778397.97</v>
      </c>
      <c r="N114" s="5">
        <v>120044.41</v>
      </c>
    </row>
    <row r="115" spans="1:14">
      <c r="A115" s="5" t="s">
        <v>50</v>
      </c>
      <c r="B115" s="6">
        <v>45689</v>
      </c>
      <c r="C115" s="5" t="s">
        <v>27</v>
      </c>
      <c r="D115" s="5" t="s">
        <v>28</v>
      </c>
      <c r="E115" s="5">
        <v>80176.34</v>
      </c>
      <c r="F115" s="5">
        <v>9489</v>
      </c>
      <c r="G115" s="5">
        <v>0.14199999999999999</v>
      </c>
      <c r="H115" s="5">
        <v>22</v>
      </c>
      <c r="I115" s="5">
        <v>94.3</v>
      </c>
      <c r="J115" s="5">
        <v>2.67</v>
      </c>
      <c r="K115" s="5">
        <v>0</v>
      </c>
      <c r="L115" s="5">
        <v>3.5</v>
      </c>
      <c r="M115" s="5">
        <v>873380.02</v>
      </c>
      <c r="N115" s="5">
        <v>149734.76</v>
      </c>
    </row>
    <row r="116" spans="1:14">
      <c r="A116" s="5" t="s">
        <v>50</v>
      </c>
      <c r="B116" s="6">
        <v>45717</v>
      </c>
      <c r="C116" s="5" t="s">
        <v>27</v>
      </c>
      <c r="D116" s="5" t="s">
        <v>28</v>
      </c>
      <c r="E116" s="5">
        <v>33605.18</v>
      </c>
      <c r="F116" s="5">
        <v>9225</v>
      </c>
      <c r="G116" s="5">
        <v>0.159</v>
      </c>
      <c r="H116" s="5">
        <v>23</v>
      </c>
      <c r="I116" s="5">
        <v>88.4</v>
      </c>
      <c r="J116" s="5">
        <v>5.91</v>
      </c>
      <c r="K116" s="5">
        <v>0</v>
      </c>
      <c r="L116" s="5">
        <v>2.8</v>
      </c>
      <c r="M116" s="5">
        <v>697287.9</v>
      </c>
      <c r="N116" s="5">
        <v>128208.33</v>
      </c>
    </row>
    <row r="117" spans="1:14">
      <c r="A117" s="5" t="s">
        <v>50</v>
      </c>
      <c r="B117" s="6">
        <v>45748</v>
      </c>
      <c r="C117" s="5" t="s">
        <v>27</v>
      </c>
      <c r="D117" s="5" t="s">
        <v>28</v>
      </c>
      <c r="E117" s="5">
        <v>25990.54</v>
      </c>
      <c r="F117" s="5">
        <v>9249</v>
      </c>
      <c r="G117" s="5">
        <v>0.13900000000000001</v>
      </c>
      <c r="H117" s="5">
        <v>23</v>
      </c>
      <c r="I117" s="5">
        <v>92.5</v>
      </c>
      <c r="J117" s="5">
        <v>6.37</v>
      </c>
      <c r="K117" s="5">
        <v>0</v>
      </c>
      <c r="L117" s="5">
        <v>3.3</v>
      </c>
      <c r="M117" s="5">
        <v>718074.79</v>
      </c>
      <c r="N117" s="5">
        <v>115819.87</v>
      </c>
    </row>
    <row r="118" spans="1:14">
      <c r="A118" s="5" t="s">
        <v>51</v>
      </c>
      <c r="B118" s="6">
        <v>45658</v>
      </c>
      <c r="C118" s="5" t="s">
        <v>27</v>
      </c>
      <c r="D118" s="5" t="s">
        <v>16</v>
      </c>
      <c r="E118" s="5">
        <v>43685.14</v>
      </c>
      <c r="F118" s="5">
        <v>7821</v>
      </c>
      <c r="G118" s="5">
        <v>0.19</v>
      </c>
      <c r="H118" s="5">
        <v>17</v>
      </c>
      <c r="I118" s="5">
        <v>91</v>
      </c>
      <c r="J118" s="5">
        <v>2.4900000000000002</v>
      </c>
      <c r="K118" s="5">
        <v>1</v>
      </c>
      <c r="L118" s="5">
        <v>4.7</v>
      </c>
      <c r="M118" s="5">
        <v>714942.43</v>
      </c>
      <c r="N118" s="5">
        <v>94697.71</v>
      </c>
    </row>
    <row r="119" spans="1:14">
      <c r="A119" s="5" t="s">
        <v>51</v>
      </c>
      <c r="B119" s="6">
        <v>45689</v>
      </c>
      <c r="C119" s="5" t="s">
        <v>27</v>
      </c>
      <c r="D119" s="5" t="s">
        <v>16</v>
      </c>
      <c r="E119" s="5">
        <v>57360.01</v>
      </c>
      <c r="F119" s="5">
        <v>8434</v>
      </c>
      <c r="G119" s="5">
        <v>0.151</v>
      </c>
      <c r="H119" s="5">
        <v>19</v>
      </c>
      <c r="I119" s="5">
        <v>84.1</v>
      </c>
      <c r="J119" s="5">
        <v>1.56</v>
      </c>
      <c r="K119" s="5">
        <v>0</v>
      </c>
      <c r="L119" s="5">
        <v>4.7</v>
      </c>
      <c r="M119" s="5">
        <v>820519.04</v>
      </c>
      <c r="N119" s="5">
        <v>99035.88</v>
      </c>
    </row>
    <row r="120" spans="1:14">
      <c r="A120" s="5" t="s">
        <v>51</v>
      </c>
      <c r="B120" s="6">
        <v>45717</v>
      </c>
      <c r="C120" s="5" t="s">
        <v>27</v>
      </c>
      <c r="D120" s="5" t="s">
        <v>16</v>
      </c>
      <c r="E120" s="5">
        <v>42415.47</v>
      </c>
      <c r="F120" s="5">
        <v>8512</v>
      </c>
      <c r="G120" s="5">
        <v>0.13300000000000001</v>
      </c>
      <c r="H120" s="5">
        <v>18</v>
      </c>
      <c r="I120" s="5">
        <v>96.8</v>
      </c>
      <c r="J120" s="5">
        <v>14.95</v>
      </c>
      <c r="K120" s="5">
        <v>0</v>
      </c>
      <c r="L120" s="5">
        <v>4.5999999999999996</v>
      </c>
      <c r="M120" s="5">
        <v>684217.32</v>
      </c>
      <c r="N120" s="5">
        <v>136217.19</v>
      </c>
    </row>
    <row r="121" spans="1:14">
      <c r="A121" s="5" t="s">
        <v>51</v>
      </c>
      <c r="B121" s="6">
        <v>45748</v>
      </c>
      <c r="C121" s="5" t="s">
        <v>27</v>
      </c>
      <c r="D121" s="5" t="s">
        <v>16</v>
      </c>
      <c r="E121" s="5">
        <v>54968.98</v>
      </c>
      <c r="F121" s="5">
        <v>7816</v>
      </c>
      <c r="G121" s="5">
        <v>0.23200000000000001</v>
      </c>
      <c r="H121" s="5">
        <v>19</v>
      </c>
      <c r="I121" s="5">
        <v>95.7</v>
      </c>
      <c r="J121" s="5">
        <v>7.85</v>
      </c>
      <c r="K121" s="5">
        <v>0</v>
      </c>
      <c r="L121" s="5">
        <v>4.7</v>
      </c>
      <c r="M121" s="5">
        <v>735480.19</v>
      </c>
      <c r="N121" s="5">
        <v>88342.11</v>
      </c>
    </row>
    <row r="122" spans="1:14">
      <c r="A122" s="5" t="s">
        <v>52</v>
      </c>
      <c r="B122" s="6">
        <v>45658</v>
      </c>
      <c r="C122" s="5" t="s">
        <v>20</v>
      </c>
      <c r="D122" s="5" t="s">
        <v>18</v>
      </c>
      <c r="E122" s="5">
        <v>43896.13</v>
      </c>
      <c r="F122" s="5">
        <v>3853</v>
      </c>
      <c r="G122" s="5">
        <v>8.7999999999999995E-2</v>
      </c>
      <c r="H122" s="5">
        <v>13</v>
      </c>
      <c r="I122" s="5">
        <v>83</v>
      </c>
      <c r="J122" s="5">
        <v>6.8</v>
      </c>
      <c r="K122" s="5">
        <v>0</v>
      </c>
      <c r="L122" s="5">
        <v>4.4000000000000004</v>
      </c>
      <c r="M122" s="5">
        <v>509484.81</v>
      </c>
      <c r="N122" s="5">
        <v>85742.36</v>
      </c>
    </row>
    <row r="123" spans="1:14">
      <c r="A123" s="5" t="s">
        <v>52</v>
      </c>
      <c r="B123" s="6">
        <v>45689</v>
      </c>
      <c r="C123" s="5" t="s">
        <v>20</v>
      </c>
      <c r="D123" s="5" t="s">
        <v>18</v>
      </c>
      <c r="E123" s="5">
        <v>83044.17</v>
      </c>
      <c r="F123" s="5">
        <v>3694</v>
      </c>
      <c r="G123" s="5">
        <v>0</v>
      </c>
      <c r="H123" s="5">
        <v>14</v>
      </c>
      <c r="I123" s="5">
        <v>89.4</v>
      </c>
      <c r="J123" s="5">
        <v>2.2000000000000002</v>
      </c>
      <c r="K123" s="5">
        <v>0</v>
      </c>
      <c r="L123" s="5">
        <v>3.7</v>
      </c>
      <c r="M123" s="5">
        <v>654317.09</v>
      </c>
      <c r="N123" s="5">
        <v>121446.89</v>
      </c>
    </row>
    <row r="124" spans="1:14">
      <c r="A124" s="5" t="s">
        <v>52</v>
      </c>
      <c r="B124" s="6">
        <v>45717</v>
      </c>
      <c r="C124" s="5" t="s">
        <v>20</v>
      </c>
      <c r="D124" s="5" t="s">
        <v>18</v>
      </c>
      <c r="E124" s="5">
        <v>48396.13</v>
      </c>
      <c r="F124" s="5">
        <v>4423</v>
      </c>
      <c r="G124" s="5">
        <v>6.9000000000000006E-2</v>
      </c>
      <c r="H124" s="5">
        <v>15</v>
      </c>
      <c r="I124" s="5">
        <v>85.7</v>
      </c>
      <c r="J124" s="5">
        <v>1.88</v>
      </c>
      <c r="K124" s="5">
        <v>0</v>
      </c>
      <c r="L124" s="5">
        <v>3.9</v>
      </c>
      <c r="M124" s="5">
        <v>557487.26</v>
      </c>
      <c r="N124" s="5">
        <v>76432.19</v>
      </c>
    </row>
    <row r="125" spans="1:14">
      <c r="A125" s="5" t="s">
        <v>52</v>
      </c>
      <c r="B125" s="6">
        <v>45748</v>
      </c>
      <c r="C125" s="5" t="s">
        <v>20</v>
      </c>
      <c r="D125" s="5" t="s">
        <v>18</v>
      </c>
      <c r="E125" s="5">
        <v>19063.48</v>
      </c>
      <c r="F125" s="5">
        <v>1906</v>
      </c>
      <c r="G125" s="5">
        <v>0.216</v>
      </c>
      <c r="H125" s="5">
        <v>10</v>
      </c>
      <c r="I125" s="5">
        <v>97.8</v>
      </c>
      <c r="J125" s="5">
        <v>15.79</v>
      </c>
      <c r="K125" s="5">
        <v>0</v>
      </c>
      <c r="L125" s="5">
        <v>4.4000000000000004</v>
      </c>
      <c r="M125" s="5">
        <v>441275.42</v>
      </c>
      <c r="N125" s="5">
        <v>58234.87</v>
      </c>
    </row>
    <row r="126" spans="1:14">
      <c r="A126" s="5" t="s">
        <v>53</v>
      </c>
      <c r="B126" s="6">
        <v>45658</v>
      </c>
      <c r="C126" s="5" t="s">
        <v>24</v>
      </c>
      <c r="D126" s="5" t="s">
        <v>18</v>
      </c>
      <c r="E126" s="5">
        <v>61541.21</v>
      </c>
      <c r="F126" s="5">
        <v>10396</v>
      </c>
      <c r="G126" s="5">
        <v>0.123</v>
      </c>
      <c r="H126" s="5">
        <v>25</v>
      </c>
      <c r="I126" s="5">
        <v>88.1</v>
      </c>
      <c r="J126" s="5">
        <v>2.34</v>
      </c>
      <c r="K126" s="5">
        <v>1</v>
      </c>
      <c r="L126" s="5">
        <v>4.8</v>
      </c>
      <c r="M126" s="5">
        <v>914544.17</v>
      </c>
      <c r="N126" s="5">
        <v>79831.73</v>
      </c>
    </row>
    <row r="127" spans="1:14">
      <c r="A127" s="5" t="s">
        <v>53</v>
      </c>
      <c r="B127" s="6">
        <v>45689</v>
      </c>
      <c r="C127" s="5" t="s">
        <v>24</v>
      </c>
      <c r="D127" s="5" t="s">
        <v>18</v>
      </c>
      <c r="E127" s="5">
        <v>44747</v>
      </c>
      <c r="F127" s="5">
        <v>11076</v>
      </c>
      <c r="G127" s="5">
        <v>0.17599999999999999</v>
      </c>
      <c r="H127" s="5">
        <v>27</v>
      </c>
      <c r="I127" s="5">
        <v>98.3</v>
      </c>
      <c r="J127" s="5">
        <v>0.54</v>
      </c>
      <c r="K127" s="5">
        <v>0</v>
      </c>
      <c r="L127" s="5">
        <v>4.4000000000000004</v>
      </c>
      <c r="M127" s="5">
        <v>842439.67</v>
      </c>
      <c r="N127" s="5">
        <v>169983.63</v>
      </c>
    </row>
    <row r="128" spans="1:14">
      <c r="A128" s="5" t="s">
        <v>53</v>
      </c>
      <c r="B128" s="6">
        <v>45717</v>
      </c>
      <c r="C128" s="5" t="s">
        <v>24</v>
      </c>
      <c r="D128" s="5" t="s">
        <v>18</v>
      </c>
      <c r="E128" s="5">
        <v>56517.9</v>
      </c>
      <c r="F128" s="5">
        <v>9574</v>
      </c>
      <c r="G128" s="5">
        <v>0.20399999999999999</v>
      </c>
      <c r="H128" s="5">
        <v>20</v>
      </c>
      <c r="I128" s="5">
        <v>88.2</v>
      </c>
      <c r="J128" s="5">
        <v>5.37</v>
      </c>
      <c r="K128" s="5">
        <v>1</v>
      </c>
      <c r="L128" s="5">
        <v>4.9000000000000004</v>
      </c>
      <c r="M128" s="5">
        <v>842157.92</v>
      </c>
      <c r="N128" s="5">
        <v>107348.22</v>
      </c>
    </row>
    <row r="129" spans="1:14">
      <c r="A129" s="5" t="s">
        <v>53</v>
      </c>
      <c r="B129" s="6">
        <v>45748</v>
      </c>
      <c r="C129" s="5" t="s">
        <v>24</v>
      </c>
      <c r="D129" s="5" t="s">
        <v>18</v>
      </c>
      <c r="E129" s="5">
        <v>37828.5</v>
      </c>
      <c r="F129" s="5">
        <v>8221</v>
      </c>
      <c r="G129" s="5">
        <v>9.6000000000000002E-2</v>
      </c>
      <c r="H129" s="5">
        <v>19</v>
      </c>
      <c r="I129" s="5">
        <v>81.5</v>
      </c>
      <c r="J129" s="5">
        <v>3.19</v>
      </c>
      <c r="K129" s="5">
        <v>0</v>
      </c>
      <c r="L129" s="5">
        <v>4.8</v>
      </c>
      <c r="M129" s="5">
        <v>697155.3</v>
      </c>
      <c r="N129" s="5">
        <v>136408.54</v>
      </c>
    </row>
    <row r="130" spans="1:14">
      <c r="A130" s="5" t="s">
        <v>54</v>
      </c>
      <c r="B130" s="6">
        <v>45658</v>
      </c>
      <c r="C130" s="5" t="s">
        <v>15</v>
      </c>
      <c r="D130" s="5" t="s">
        <v>18</v>
      </c>
      <c r="E130" s="5">
        <v>66250.53</v>
      </c>
      <c r="F130" s="5">
        <v>10618</v>
      </c>
      <c r="G130" s="5">
        <v>0.14199999999999999</v>
      </c>
      <c r="H130" s="5">
        <v>27</v>
      </c>
      <c r="I130" s="5">
        <v>88.3</v>
      </c>
      <c r="J130" s="5">
        <v>1.1000000000000001</v>
      </c>
      <c r="K130" s="5">
        <v>1</v>
      </c>
      <c r="L130" s="5">
        <v>4.4000000000000004</v>
      </c>
      <c r="M130" s="5">
        <v>849018.3</v>
      </c>
      <c r="N130" s="5">
        <v>149035.13</v>
      </c>
    </row>
    <row r="131" spans="1:14">
      <c r="A131" s="5" t="s">
        <v>54</v>
      </c>
      <c r="B131" s="6">
        <v>45689</v>
      </c>
      <c r="C131" s="5" t="s">
        <v>15</v>
      </c>
      <c r="D131" s="5" t="s">
        <v>18</v>
      </c>
      <c r="E131" s="5">
        <v>68410.929999999993</v>
      </c>
      <c r="F131" s="5">
        <v>10596</v>
      </c>
      <c r="G131" s="5">
        <v>0.20699999999999999</v>
      </c>
      <c r="H131" s="5">
        <v>25</v>
      </c>
      <c r="I131" s="5">
        <v>81.2</v>
      </c>
      <c r="J131" s="5">
        <v>0.21</v>
      </c>
      <c r="K131" s="5">
        <v>0</v>
      </c>
      <c r="L131" s="5">
        <v>4</v>
      </c>
      <c r="M131" s="5">
        <v>801830.35</v>
      </c>
      <c r="N131" s="5">
        <v>114875.32</v>
      </c>
    </row>
    <row r="132" spans="1:14">
      <c r="A132" s="5" t="s">
        <v>54</v>
      </c>
      <c r="B132" s="6">
        <v>45717</v>
      </c>
      <c r="C132" s="5" t="s">
        <v>15</v>
      </c>
      <c r="D132" s="5" t="s">
        <v>18</v>
      </c>
      <c r="E132" s="5">
        <v>50735.63</v>
      </c>
      <c r="F132" s="5">
        <v>9619</v>
      </c>
      <c r="G132" s="5">
        <v>0.14399999999999999</v>
      </c>
      <c r="H132" s="5">
        <v>19</v>
      </c>
      <c r="I132" s="5">
        <v>93.8</v>
      </c>
      <c r="J132" s="5">
        <v>5.12</v>
      </c>
      <c r="K132" s="5">
        <v>1</v>
      </c>
      <c r="L132" s="5">
        <v>4.5</v>
      </c>
      <c r="M132" s="5">
        <v>725235.28</v>
      </c>
      <c r="N132" s="5">
        <v>121632.24</v>
      </c>
    </row>
    <row r="133" spans="1:14">
      <c r="A133" s="5" t="s">
        <v>54</v>
      </c>
      <c r="B133" s="6">
        <v>45748</v>
      </c>
      <c r="C133" s="5" t="s">
        <v>15</v>
      </c>
      <c r="D133" s="5" t="s">
        <v>18</v>
      </c>
      <c r="E133" s="5">
        <v>66455.8</v>
      </c>
      <c r="F133" s="5">
        <v>10836</v>
      </c>
      <c r="G133" s="5">
        <v>8.8999999999999996E-2</v>
      </c>
      <c r="H133" s="5">
        <v>25</v>
      </c>
      <c r="I133" s="5">
        <v>85</v>
      </c>
      <c r="J133" s="5">
        <v>9.77</v>
      </c>
      <c r="K133" s="5">
        <v>0</v>
      </c>
      <c r="L133" s="5">
        <v>4.5</v>
      </c>
      <c r="M133" s="5">
        <v>811452.72</v>
      </c>
      <c r="N133" s="5">
        <v>131325.67000000001</v>
      </c>
    </row>
    <row r="134" spans="1:14">
      <c r="A134" s="5" t="s">
        <v>55</v>
      </c>
      <c r="B134" s="6">
        <v>45658</v>
      </c>
      <c r="C134" s="5" t="s">
        <v>20</v>
      </c>
      <c r="D134" s="5" t="s">
        <v>18</v>
      </c>
      <c r="E134" s="5">
        <v>70276.28</v>
      </c>
      <c r="F134" s="5">
        <v>3043</v>
      </c>
      <c r="G134" s="5">
        <v>7.9000000000000001E-2</v>
      </c>
      <c r="H134" s="5">
        <v>9</v>
      </c>
      <c r="I134" s="5">
        <v>87.9</v>
      </c>
      <c r="J134" s="5">
        <v>3.77</v>
      </c>
      <c r="K134" s="5">
        <v>0</v>
      </c>
      <c r="L134" s="5">
        <v>4.4000000000000004</v>
      </c>
      <c r="M134" s="5">
        <v>527300.13</v>
      </c>
      <c r="N134" s="5">
        <v>84197.87</v>
      </c>
    </row>
    <row r="135" spans="1:14">
      <c r="A135" s="5" t="s">
        <v>55</v>
      </c>
      <c r="B135" s="6">
        <v>45689</v>
      </c>
      <c r="C135" s="5" t="s">
        <v>20</v>
      </c>
      <c r="D135" s="5" t="s">
        <v>18</v>
      </c>
      <c r="E135" s="5">
        <v>22071.64</v>
      </c>
      <c r="F135" s="5">
        <v>1814</v>
      </c>
      <c r="G135" s="5">
        <v>0.19600000000000001</v>
      </c>
      <c r="H135" s="5">
        <v>8</v>
      </c>
      <c r="I135" s="5">
        <v>81.099999999999994</v>
      </c>
      <c r="J135" s="5">
        <v>0.78</v>
      </c>
      <c r="K135" s="5">
        <v>0</v>
      </c>
      <c r="L135" s="5"/>
      <c r="M135" s="5">
        <v>400831.65</v>
      </c>
      <c r="N135" s="5">
        <v>70979.31</v>
      </c>
    </row>
    <row r="136" spans="1:14">
      <c r="A136" s="5" t="s">
        <v>55</v>
      </c>
      <c r="B136" s="6">
        <v>45717</v>
      </c>
      <c r="C136" s="5" t="s">
        <v>20</v>
      </c>
      <c r="D136" s="5" t="s">
        <v>18</v>
      </c>
      <c r="E136" s="5">
        <v>52285.45</v>
      </c>
      <c r="F136" s="5">
        <v>3618</v>
      </c>
      <c r="G136" s="5">
        <v>8.5999999999999993E-2</v>
      </c>
      <c r="H136" s="5">
        <v>11</v>
      </c>
      <c r="I136" s="5">
        <v>95.6</v>
      </c>
      <c r="J136" s="5">
        <v>5.17</v>
      </c>
      <c r="K136" s="5">
        <v>1</v>
      </c>
      <c r="L136" s="5">
        <v>4.4000000000000004</v>
      </c>
      <c r="M136" s="5">
        <v>593247.25</v>
      </c>
      <c r="N136" s="5">
        <v>81240.289999999994</v>
      </c>
    </row>
    <row r="137" spans="1:14">
      <c r="A137" s="5" t="s">
        <v>55</v>
      </c>
      <c r="B137" s="6">
        <v>45748</v>
      </c>
      <c r="C137" s="5" t="s">
        <v>20</v>
      </c>
      <c r="D137" s="5" t="s">
        <v>18</v>
      </c>
      <c r="E137" s="5">
        <v>70366.759999999995</v>
      </c>
      <c r="F137" s="5">
        <v>1963</v>
      </c>
      <c r="G137" s="5">
        <v>0.182</v>
      </c>
      <c r="H137" s="5">
        <v>8</v>
      </c>
      <c r="I137" s="5">
        <v>89.8</v>
      </c>
      <c r="J137" s="5">
        <v>3.2</v>
      </c>
      <c r="K137" s="5">
        <v>0</v>
      </c>
      <c r="L137" s="5">
        <v>4.5999999999999996</v>
      </c>
      <c r="M137" s="5">
        <v>529075.94999999995</v>
      </c>
      <c r="N137" s="5">
        <v>95978.83</v>
      </c>
    </row>
    <row r="138" spans="1:14">
      <c r="A138" s="5" t="s">
        <v>56</v>
      </c>
      <c r="B138" s="6">
        <v>45658</v>
      </c>
      <c r="C138" s="5" t="s">
        <v>24</v>
      </c>
      <c r="D138" s="5" t="s">
        <v>16</v>
      </c>
      <c r="E138" s="5">
        <v>71320.66</v>
      </c>
      <c r="F138" s="5">
        <v>7888</v>
      </c>
      <c r="G138" s="5">
        <v>4.8000000000000001E-2</v>
      </c>
      <c r="H138" s="5">
        <v>20</v>
      </c>
      <c r="I138" s="5">
        <v>78.099999999999994</v>
      </c>
      <c r="J138" s="5">
        <v>3.4</v>
      </c>
      <c r="K138" s="5">
        <v>0</v>
      </c>
      <c r="L138" s="5"/>
      <c r="M138" s="5">
        <v>633638.03</v>
      </c>
      <c r="N138" s="5">
        <v>99402.01</v>
      </c>
    </row>
    <row r="139" spans="1:14">
      <c r="A139" s="5" t="s">
        <v>56</v>
      </c>
      <c r="B139" s="6">
        <v>45689</v>
      </c>
      <c r="C139" s="5" t="s">
        <v>24</v>
      </c>
      <c r="D139" s="5" t="s">
        <v>16</v>
      </c>
      <c r="E139" s="5">
        <v>75109.67</v>
      </c>
      <c r="F139" s="5">
        <v>6244</v>
      </c>
      <c r="G139" s="5">
        <v>7.9000000000000001E-2</v>
      </c>
      <c r="H139" s="5">
        <v>15</v>
      </c>
      <c r="I139" s="5">
        <v>96.3</v>
      </c>
      <c r="J139" s="5">
        <v>7.38</v>
      </c>
      <c r="K139" s="5">
        <v>0</v>
      </c>
      <c r="L139" s="5">
        <v>3.7</v>
      </c>
      <c r="M139" s="5">
        <v>743348.84</v>
      </c>
      <c r="N139" s="5">
        <v>104186.09</v>
      </c>
    </row>
    <row r="140" spans="1:14">
      <c r="A140" s="5" t="s">
        <v>56</v>
      </c>
      <c r="B140" s="6">
        <v>45717</v>
      </c>
      <c r="C140" s="5" t="s">
        <v>24</v>
      </c>
      <c r="D140" s="5" t="s">
        <v>16</v>
      </c>
      <c r="E140" s="5">
        <v>69779</v>
      </c>
      <c r="F140" s="5">
        <v>6544</v>
      </c>
      <c r="G140" s="5">
        <v>0.152</v>
      </c>
      <c r="H140" s="5">
        <v>18</v>
      </c>
      <c r="I140" s="5">
        <v>90.2</v>
      </c>
      <c r="J140" s="5">
        <v>0.85</v>
      </c>
      <c r="K140" s="5">
        <v>1</v>
      </c>
      <c r="L140" s="5">
        <v>3.3</v>
      </c>
      <c r="M140" s="5">
        <v>758827.64</v>
      </c>
      <c r="N140" s="5">
        <v>161439.48000000001</v>
      </c>
    </row>
    <row r="141" spans="1:14">
      <c r="A141" s="5" t="s">
        <v>56</v>
      </c>
      <c r="B141" s="6">
        <v>45748</v>
      </c>
      <c r="C141" s="5" t="s">
        <v>24</v>
      </c>
      <c r="D141" s="5" t="s">
        <v>16</v>
      </c>
      <c r="E141" s="5">
        <v>44211.95</v>
      </c>
      <c r="F141" s="5">
        <v>5465</v>
      </c>
      <c r="G141" s="5">
        <v>0.187</v>
      </c>
      <c r="H141" s="5">
        <v>12</v>
      </c>
      <c r="I141" s="5">
        <v>90</v>
      </c>
      <c r="J141" s="5">
        <v>2.89</v>
      </c>
      <c r="K141" s="5">
        <v>0</v>
      </c>
      <c r="L141" s="5">
        <v>3.6</v>
      </c>
      <c r="M141" s="5">
        <v>646559.71</v>
      </c>
      <c r="N141" s="5">
        <v>97981.75</v>
      </c>
    </row>
    <row r="142" spans="1:14">
      <c r="A142" s="5" t="s">
        <v>57</v>
      </c>
      <c r="B142" s="6">
        <v>45658</v>
      </c>
      <c r="C142" s="5" t="s">
        <v>27</v>
      </c>
      <c r="D142" s="5" t="s">
        <v>18</v>
      </c>
      <c r="E142" s="5">
        <v>51430.31</v>
      </c>
      <c r="F142" s="5">
        <v>6427</v>
      </c>
      <c r="G142" s="5">
        <v>0.23400000000000001</v>
      </c>
      <c r="H142" s="5">
        <v>14</v>
      </c>
      <c r="I142" s="5">
        <v>88.8</v>
      </c>
      <c r="J142" s="5">
        <v>0.77</v>
      </c>
      <c r="K142" s="5">
        <v>0</v>
      </c>
      <c r="L142" s="5">
        <v>4.0999999999999996</v>
      </c>
      <c r="M142" s="5">
        <v>715890.53</v>
      </c>
      <c r="N142" s="5">
        <v>109032.15</v>
      </c>
    </row>
    <row r="143" spans="1:14">
      <c r="A143" s="5" t="s">
        <v>57</v>
      </c>
      <c r="B143" s="6">
        <v>45689</v>
      </c>
      <c r="C143" s="5" t="s">
        <v>27</v>
      </c>
      <c r="D143" s="5" t="s">
        <v>18</v>
      </c>
      <c r="E143" s="5">
        <v>45706.49</v>
      </c>
      <c r="F143" s="5">
        <v>6704</v>
      </c>
      <c r="G143" s="5">
        <v>3.7999999999999999E-2</v>
      </c>
      <c r="H143" s="5">
        <v>15</v>
      </c>
      <c r="I143" s="5">
        <v>94.2</v>
      </c>
      <c r="J143" s="5">
        <v>2.92</v>
      </c>
      <c r="K143" s="5">
        <v>0</v>
      </c>
      <c r="L143" s="5">
        <v>4.2</v>
      </c>
      <c r="M143" s="5">
        <v>715097.57</v>
      </c>
      <c r="N143" s="5">
        <v>151875.85999999999</v>
      </c>
    </row>
    <row r="144" spans="1:14">
      <c r="A144" s="5" t="s">
        <v>57</v>
      </c>
      <c r="B144" s="6">
        <v>45717</v>
      </c>
      <c r="C144" s="5" t="s">
        <v>27</v>
      </c>
      <c r="D144" s="5" t="s">
        <v>18</v>
      </c>
      <c r="E144" s="5">
        <v>44034.6</v>
      </c>
      <c r="F144" s="5">
        <v>5645</v>
      </c>
      <c r="G144" s="5">
        <v>6.9000000000000006E-2</v>
      </c>
      <c r="H144" s="5">
        <v>18</v>
      </c>
      <c r="I144" s="5">
        <v>88.5</v>
      </c>
      <c r="J144" s="5">
        <v>3.07</v>
      </c>
      <c r="K144" s="5">
        <v>0</v>
      </c>
      <c r="L144" s="5">
        <v>3.8</v>
      </c>
      <c r="M144" s="5">
        <v>682639.28</v>
      </c>
      <c r="N144" s="5">
        <v>77557.53</v>
      </c>
    </row>
    <row r="145" spans="1:14">
      <c r="A145" s="5" t="s">
        <v>57</v>
      </c>
      <c r="B145" s="6">
        <v>45748</v>
      </c>
      <c r="C145" s="5" t="s">
        <v>27</v>
      </c>
      <c r="D145" s="5" t="s">
        <v>18</v>
      </c>
      <c r="E145" s="5">
        <v>50198.12</v>
      </c>
      <c r="F145" s="5">
        <v>6089</v>
      </c>
      <c r="G145" s="5">
        <v>0.182</v>
      </c>
      <c r="H145" s="5">
        <v>19</v>
      </c>
      <c r="I145" s="5">
        <v>94</v>
      </c>
      <c r="J145" s="5">
        <v>9.6999999999999993</v>
      </c>
      <c r="K145" s="5">
        <v>0</v>
      </c>
      <c r="L145" s="5">
        <v>3.9</v>
      </c>
      <c r="M145" s="5">
        <v>695098.51</v>
      </c>
      <c r="N145" s="5">
        <v>108192.75</v>
      </c>
    </row>
    <row r="146" spans="1:14">
      <c r="A146" s="5" t="s">
        <v>58</v>
      </c>
      <c r="B146" s="6">
        <v>45658</v>
      </c>
      <c r="C146" s="5" t="s">
        <v>20</v>
      </c>
      <c r="D146" s="5" t="s">
        <v>16</v>
      </c>
      <c r="E146" s="5">
        <v>70488.2</v>
      </c>
      <c r="F146" s="5">
        <v>4312</v>
      </c>
      <c r="G146" s="5">
        <v>0.16900000000000001</v>
      </c>
      <c r="H146" s="5">
        <v>12</v>
      </c>
      <c r="I146" s="5">
        <v>90.2</v>
      </c>
      <c r="J146" s="5">
        <v>3.71</v>
      </c>
      <c r="K146" s="5">
        <v>0</v>
      </c>
      <c r="L146" s="5">
        <v>3.2</v>
      </c>
      <c r="M146" s="5">
        <v>577732.56999999995</v>
      </c>
      <c r="N146" s="5">
        <v>93804.27</v>
      </c>
    </row>
    <row r="147" spans="1:14">
      <c r="A147" s="5" t="s">
        <v>58</v>
      </c>
      <c r="B147" s="6">
        <v>45689</v>
      </c>
      <c r="C147" s="5" t="s">
        <v>20</v>
      </c>
      <c r="D147" s="5" t="s">
        <v>16</v>
      </c>
      <c r="E147" s="5">
        <v>50909.27</v>
      </c>
      <c r="F147" s="5">
        <v>3152</v>
      </c>
      <c r="G147" s="5">
        <v>0.06</v>
      </c>
      <c r="H147" s="5">
        <v>13</v>
      </c>
      <c r="I147" s="5">
        <v>93.7</v>
      </c>
      <c r="J147" s="5">
        <v>10.79</v>
      </c>
      <c r="K147" s="5">
        <v>0</v>
      </c>
      <c r="L147" s="5">
        <v>3.5</v>
      </c>
      <c r="M147" s="5">
        <v>537058.32999999996</v>
      </c>
      <c r="N147" s="5">
        <v>93555.71</v>
      </c>
    </row>
    <row r="148" spans="1:14">
      <c r="A148" s="5" t="s">
        <v>58</v>
      </c>
      <c r="B148" s="6">
        <v>45717</v>
      </c>
      <c r="C148" s="5" t="s">
        <v>20</v>
      </c>
      <c r="D148" s="5" t="s">
        <v>16</v>
      </c>
      <c r="E148" s="5">
        <v>53351.7</v>
      </c>
      <c r="F148" s="5">
        <v>4259</v>
      </c>
      <c r="G148" s="5">
        <v>0.156</v>
      </c>
      <c r="H148" s="5">
        <v>15</v>
      </c>
      <c r="I148" s="5">
        <v>93.7</v>
      </c>
      <c r="J148" s="5">
        <v>6.03</v>
      </c>
      <c r="K148" s="5">
        <v>0</v>
      </c>
      <c r="L148" s="5">
        <v>3.4</v>
      </c>
      <c r="M148" s="5">
        <v>601568.87</v>
      </c>
      <c r="N148" s="5">
        <v>91634.82</v>
      </c>
    </row>
    <row r="149" spans="1:14">
      <c r="A149" s="5" t="s">
        <v>58</v>
      </c>
      <c r="B149" s="6">
        <v>45748</v>
      </c>
      <c r="C149" s="5" t="s">
        <v>20</v>
      </c>
      <c r="D149" s="5" t="s">
        <v>16</v>
      </c>
      <c r="E149" s="5">
        <v>60322.400000000001</v>
      </c>
      <c r="F149" s="5">
        <v>3350</v>
      </c>
      <c r="G149" s="5">
        <v>0.108</v>
      </c>
      <c r="H149" s="5">
        <v>12</v>
      </c>
      <c r="I149" s="5">
        <v>89.4</v>
      </c>
      <c r="J149" s="5">
        <v>4.92</v>
      </c>
      <c r="K149" s="5">
        <v>0</v>
      </c>
      <c r="L149" s="5">
        <v>3.4</v>
      </c>
      <c r="M149" s="5">
        <v>570964.84</v>
      </c>
      <c r="N149" s="5">
        <v>81331.070000000007</v>
      </c>
    </row>
    <row r="150" spans="1:14">
      <c r="A150" s="5" t="s">
        <v>59</v>
      </c>
      <c r="B150" s="6">
        <v>45658</v>
      </c>
      <c r="C150" s="5" t="s">
        <v>24</v>
      </c>
      <c r="D150" s="5" t="s">
        <v>28</v>
      </c>
      <c r="E150" s="5">
        <v>51575.68</v>
      </c>
      <c r="F150" s="5">
        <v>5329</v>
      </c>
      <c r="G150" s="5">
        <v>4.7E-2</v>
      </c>
      <c r="H150" s="5">
        <v>17</v>
      </c>
      <c r="I150" s="5">
        <v>88.1</v>
      </c>
      <c r="J150" s="5">
        <v>19.78</v>
      </c>
      <c r="K150" s="5">
        <v>0</v>
      </c>
      <c r="L150" s="5">
        <v>3.8</v>
      </c>
      <c r="M150" s="5">
        <v>614024.91</v>
      </c>
      <c r="N150" s="5">
        <v>84828.93</v>
      </c>
    </row>
    <row r="151" spans="1:14">
      <c r="A151" s="5" t="s">
        <v>59</v>
      </c>
      <c r="B151" s="6">
        <v>45689</v>
      </c>
      <c r="C151" s="5" t="s">
        <v>24</v>
      </c>
      <c r="D151" s="5" t="s">
        <v>28</v>
      </c>
      <c r="E151" s="5">
        <v>43319.94</v>
      </c>
      <c r="F151" s="5">
        <v>6551</v>
      </c>
      <c r="G151" s="5">
        <v>4.3999999999999997E-2</v>
      </c>
      <c r="H151" s="5">
        <v>13</v>
      </c>
      <c r="I151" s="5">
        <v>99</v>
      </c>
      <c r="J151" s="5">
        <v>5.45</v>
      </c>
      <c r="K151" s="5">
        <v>0</v>
      </c>
      <c r="L151" s="5">
        <v>4.0999999999999996</v>
      </c>
      <c r="M151" s="5">
        <v>712868.35</v>
      </c>
      <c r="N151" s="5">
        <v>133650.51</v>
      </c>
    </row>
    <row r="152" spans="1:14">
      <c r="A152" s="5" t="s">
        <v>59</v>
      </c>
      <c r="B152" s="6">
        <v>45717</v>
      </c>
      <c r="C152" s="5" t="s">
        <v>24</v>
      </c>
      <c r="D152" s="5" t="s">
        <v>28</v>
      </c>
      <c r="E152" s="5">
        <v>47093.55</v>
      </c>
      <c r="F152" s="5">
        <v>5550</v>
      </c>
      <c r="G152" s="5">
        <v>0.1</v>
      </c>
      <c r="H152" s="5">
        <v>12</v>
      </c>
      <c r="I152" s="5">
        <v>95</v>
      </c>
      <c r="J152" s="5">
        <v>2.33</v>
      </c>
      <c r="K152" s="5">
        <v>1</v>
      </c>
      <c r="L152" s="5">
        <v>3.7</v>
      </c>
      <c r="M152" s="5">
        <v>696744.15</v>
      </c>
      <c r="N152" s="5">
        <v>152230.09</v>
      </c>
    </row>
    <row r="153" spans="1:14">
      <c r="A153" s="5" t="s">
        <v>59</v>
      </c>
      <c r="B153" s="6">
        <v>45748</v>
      </c>
      <c r="C153" s="5" t="s">
        <v>24</v>
      </c>
      <c r="D153" s="5" t="s">
        <v>28</v>
      </c>
      <c r="E153" s="5">
        <v>71855.09</v>
      </c>
      <c r="F153" s="5">
        <v>5911</v>
      </c>
      <c r="G153" s="5">
        <v>0.19700000000000001</v>
      </c>
      <c r="H153" s="5">
        <v>15</v>
      </c>
      <c r="I153" s="5">
        <v>94.3</v>
      </c>
      <c r="J153" s="5">
        <v>3.55</v>
      </c>
      <c r="K153" s="5">
        <v>0</v>
      </c>
      <c r="L153" s="5">
        <v>4.0999999999999996</v>
      </c>
      <c r="M153" s="5">
        <v>725847.99</v>
      </c>
      <c r="N153" s="5">
        <v>122698.73</v>
      </c>
    </row>
    <row r="154" spans="1:14">
      <c r="A154" s="5" t="s">
        <v>60</v>
      </c>
      <c r="B154" s="6">
        <v>45658</v>
      </c>
      <c r="C154" s="5" t="s">
        <v>15</v>
      </c>
      <c r="D154" s="5" t="s">
        <v>18</v>
      </c>
      <c r="E154" s="5">
        <v>75645.23</v>
      </c>
      <c r="F154" s="5">
        <v>9674</v>
      </c>
      <c r="G154" s="5">
        <v>0.23400000000000001</v>
      </c>
      <c r="H154" s="5">
        <v>21</v>
      </c>
      <c r="I154" s="5">
        <v>87.4</v>
      </c>
      <c r="J154" s="5">
        <v>0.2</v>
      </c>
      <c r="K154" s="5">
        <v>0</v>
      </c>
      <c r="L154" s="5">
        <v>4.5</v>
      </c>
      <c r="M154" s="5">
        <v>785028.25</v>
      </c>
      <c r="N154" s="5">
        <v>110726.44</v>
      </c>
    </row>
    <row r="155" spans="1:14">
      <c r="A155" s="5" t="s">
        <v>60</v>
      </c>
      <c r="B155" s="6">
        <v>45689</v>
      </c>
      <c r="C155" s="5" t="s">
        <v>15</v>
      </c>
      <c r="D155" s="5" t="s">
        <v>18</v>
      </c>
      <c r="E155" s="5">
        <v>64374.75</v>
      </c>
      <c r="F155" s="5">
        <v>6740</v>
      </c>
      <c r="G155" s="5">
        <v>0.16900000000000001</v>
      </c>
      <c r="H155" s="5">
        <v>18</v>
      </c>
      <c r="I155" s="5">
        <v>87</v>
      </c>
      <c r="J155" s="5">
        <v>2.09</v>
      </c>
      <c r="K155" s="5">
        <v>0</v>
      </c>
      <c r="L155" s="5">
        <v>4.2</v>
      </c>
      <c r="M155" s="5">
        <v>698492.67</v>
      </c>
      <c r="N155" s="5">
        <v>117319.32</v>
      </c>
    </row>
    <row r="156" spans="1:14">
      <c r="A156" s="5" t="s">
        <v>60</v>
      </c>
      <c r="B156" s="6">
        <v>45717</v>
      </c>
      <c r="C156" s="5" t="s">
        <v>15</v>
      </c>
      <c r="D156" s="5" t="s">
        <v>18</v>
      </c>
      <c r="E156" s="5">
        <v>61433.84</v>
      </c>
      <c r="F156" s="5">
        <v>7745</v>
      </c>
      <c r="G156" s="5">
        <v>0.18</v>
      </c>
      <c r="H156" s="5">
        <v>16</v>
      </c>
      <c r="I156" s="5">
        <v>90.5</v>
      </c>
      <c r="J156" s="5">
        <v>2.2599999999999998</v>
      </c>
      <c r="K156" s="5">
        <v>0</v>
      </c>
      <c r="L156" s="5">
        <v>4.2</v>
      </c>
      <c r="M156" s="5">
        <v>685830.24</v>
      </c>
      <c r="N156" s="5">
        <v>128736.18</v>
      </c>
    </row>
    <row r="157" spans="1:14">
      <c r="A157" s="5" t="s">
        <v>60</v>
      </c>
      <c r="B157" s="6">
        <v>45748</v>
      </c>
      <c r="C157" s="5" t="s">
        <v>15</v>
      </c>
      <c r="D157" s="5" t="s">
        <v>18</v>
      </c>
      <c r="E157" s="5">
        <v>42698.14</v>
      </c>
      <c r="F157" s="5">
        <v>7693</v>
      </c>
      <c r="G157" s="5">
        <v>0.187</v>
      </c>
      <c r="H157" s="5">
        <v>19</v>
      </c>
      <c r="I157" s="5">
        <v>90.1</v>
      </c>
      <c r="J157" s="5">
        <v>0.44</v>
      </c>
      <c r="K157" s="5">
        <v>0</v>
      </c>
      <c r="L157" s="5">
        <v>4.4000000000000004</v>
      </c>
      <c r="M157" s="5">
        <v>702318.94</v>
      </c>
      <c r="N157" s="5">
        <v>112829.29</v>
      </c>
    </row>
    <row r="158" spans="1:14">
      <c r="A158" s="5" t="s">
        <v>61</v>
      </c>
      <c r="B158" s="6">
        <v>45658</v>
      </c>
      <c r="C158" s="5" t="s">
        <v>20</v>
      </c>
      <c r="D158" s="5" t="s">
        <v>28</v>
      </c>
      <c r="E158" s="5">
        <v>86883.31</v>
      </c>
      <c r="F158" s="5">
        <v>6424</v>
      </c>
      <c r="G158" s="5">
        <v>5.7000000000000002E-2</v>
      </c>
      <c r="H158" s="5">
        <v>19</v>
      </c>
      <c r="I158" s="5">
        <v>85.2</v>
      </c>
      <c r="J158" s="5">
        <v>3.08</v>
      </c>
      <c r="K158" s="5">
        <v>0</v>
      </c>
      <c r="L158" s="5">
        <v>3.9</v>
      </c>
      <c r="M158" s="5">
        <v>700078.32</v>
      </c>
      <c r="N158" s="5">
        <v>123707.58</v>
      </c>
    </row>
    <row r="159" spans="1:14">
      <c r="A159" s="5" t="s">
        <v>61</v>
      </c>
      <c r="B159" s="6">
        <v>45689</v>
      </c>
      <c r="C159" s="5" t="s">
        <v>20</v>
      </c>
      <c r="D159" s="5" t="s">
        <v>28</v>
      </c>
      <c r="E159" s="5">
        <v>41863.08</v>
      </c>
      <c r="F159" s="5">
        <v>5400</v>
      </c>
      <c r="G159" s="5">
        <v>0.114</v>
      </c>
      <c r="H159" s="5">
        <v>11</v>
      </c>
      <c r="I159" s="5">
        <v>91.6</v>
      </c>
      <c r="J159" s="5">
        <v>7.99</v>
      </c>
      <c r="K159" s="5">
        <v>0</v>
      </c>
      <c r="L159" s="5">
        <v>3</v>
      </c>
      <c r="M159" s="5">
        <v>602002.31999999995</v>
      </c>
      <c r="N159" s="5">
        <v>110453.28</v>
      </c>
    </row>
    <row r="160" spans="1:14">
      <c r="A160" s="5" t="s">
        <v>61</v>
      </c>
      <c r="B160" s="6">
        <v>45717</v>
      </c>
      <c r="C160" s="5" t="s">
        <v>20</v>
      </c>
      <c r="D160" s="5" t="s">
        <v>28</v>
      </c>
      <c r="E160" s="5">
        <v>56918.16</v>
      </c>
      <c r="F160" s="5">
        <v>7015</v>
      </c>
      <c r="G160" s="5">
        <v>0.158</v>
      </c>
      <c r="H160" s="5">
        <v>18</v>
      </c>
      <c r="I160" s="5">
        <v>74.2</v>
      </c>
      <c r="J160" s="5">
        <v>0.2</v>
      </c>
      <c r="K160" s="5">
        <v>0</v>
      </c>
      <c r="L160" s="5">
        <v>3.4</v>
      </c>
      <c r="M160" s="5">
        <v>724216.07</v>
      </c>
      <c r="N160" s="5">
        <v>100627.56</v>
      </c>
    </row>
    <row r="161" spans="1:14">
      <c r="A161" s="5" t="s">
        <v>61</v>
      </c>
      <c r="B161" s="6">
        <v>45748</v>
      </c>
      <c r="C161" s="5" t="s">
        <v>20</v>
      </c>
      <c r="D161" s="5" t="s">
        <v>28</v>
      </c>
      <c r="E161" s="5">
        <v>23254.57</v>
      </c>
      <c r="F161" s="5">
        <v>3847</v>
      </c>
      <c r="G161" s="5">
        <v>0.159</v>
      </c>
      <c r="H161" s="5">
        <v>12</v>
      </c>
      <c r="I161" s="5">
        <v>93</v>
      </c>
      <c r="J161" s="5">
        <v>5.46</v>
      </c>
      <c r="K161" s="5">
        <v>0</v>
      </c>
      <c r="L161" s="5">
        <v>3.3</v>
      </c>
      <c r="M161" s="5">
        <v>620973.03</v>
      </c>
      <c r="N161" s="5">
        <v>72303.850000000006</v>
      </c>
    </row>
    <row r="162" spans="1:14">
      <c r="A162" s="5" t="s">
        <v>62</v>
      </c>
      <c r="B162" s="6">
        <v>45658</v>
      </c>
      <c r="C162" s="5" t="s">
        <v>24</v>
      </c>
      <c r="D162" s="5" t="s">
        <v>18</v>
      </c>
      <c r="E162" s="5">
        <v>41443.410000000003</v>
      </c>
      <c r="F162" s="5">
        <v>7455</v>
      </c>
      <c r="G162" s="5">
        <v>0.17499999999999999</v>
      </c>
      <c r="H162" s="5">
        <v>16</v>
      </c>
      <c r="I162" s="5">
        <v>90.1</v>
      </c>
      <c r="J162" s="5">
        <v>4.05</v>
      </c>
      <c r="K162" s="5">
        <v>0</v>
      </c>
      <c r="L162" s="5">
        <v>4</v>
      </c>
      <c r="M162" s="5">
        <v>650480.06000000006</v>
      </c>
      <c r="N162" s="5">
        <v>109012.07</v>
      </c>
    </row>
    <row r="163" spans="1:14">
      <c r="A163" s="5" t="s">
        <v>62</v>
      </c>
      <c r="B163" s="6">
        <v>45689</v>
      </c>
      <c r="C163" s="5" t="s">
        <v>24</v>
      </c>
      <c r="D163" s="5" t="s">
        <v>18</v>
      </c>
      <c r="E163" s="5">
        <v>48438.85</v>
      </c>
      <c r="F163" s="5">
        <v>6992</v>
      </c>
      <c r="G163" s="5">
        <v>3.4000000000000002E-2</v>
      </c>
      <c r="H163" s="5">
        <v>20</v>
      </c>
      <c r="I163" s="5">
        <v>91</v>
      </c>
      <c r="J163" s="5">
        <v>4.3600000000000003</v>
      </c>
      <c r="K163" s="5">
        <v>0</v>
      </c>
      <c r="L163" s="5">
        <v>4.2</v>
      </c>
      <c r="M163" s="5">
        <v>778298.88</v>
      </c>
      <c r="N163" s="5">
        <v>130076.72</v>
      </c>
    </row>
    <row r="164" spans="1:14">
      <c r="A164" s="5" t="s">
        <v>62</v>
      </c>
      <c r="B164" s="6">
        <v>45717</v>
      </c>
      <c r="C164" s="5" t="s">
        <v>24</v>
      </c>
      <c r="D164" s="5" t="s">
        <v>18</v>
      </c>
      <c r="E164" s="5">
        <v>57143.3</v>
      </c>
      <c r="F164" s="5">
        <v>8038</v>
      </c>
      <c r="G164" s="5">
        <v>0.193</v>
      </c>
      <c r="H164" s="5">
        <v>17</v>
      </c>
      <c r="I164" s="5">
        <v>72.599999999999994</v>
      </c>
      <c r="J164" s="5"/>
      <c r="K164" s="5">
        <v>0</v>
      </c>
      <c r="L164" s="5">
        <v>4.2</v>
      </c>
      <c r="M164" s="5">
        <v>677096.71</v>
      </c>
      <c r="N164" s="5">
        <v>97174.11</v>
      </c>
    </row>
    <row r="165" spans="1:14">
      <c r="A165" s="5" t="s">
        <v>62</v>
      </c>
      <c r="B165" s="6">
        <v>45748</v>
      </c>
      <c r="C165" s="5" t="s">
        <v>24</v>
      </c>
      <c r="D165" s="5" t="s">
        <v>18</v>
      </c>
      <c r="E165" s="5">
        <v>66870.62</v>
      </c>
      <c r="F165" s="5">
        <v>6055</v>
      </c>
      <c r="G165" s="5">
        <v>7.4999999999999997E-2</v>
      </c>
      <c r="H165" s="5">
        <v>19</v>
      </c>
      <c r="I165" s="5">
        <v>93.8</v>
      </c>
      <c r="J165" s="5">
        <v>0.54</v>
      </c>
      <c r="K165" s="5">
        <v>0</v>
      </c>
      <c r="L165" s="5">
        <v>4.3</v>
      </c>
      <c r="M165" s="5">
        <v>692008.64</v>
      </c>
      <c r="N165" s="5">
        <v>116337.87</v>
      </c>
    </row>
    <row r="166" spans="1:14">
      <c r="A166" s="5" t="s">
        <v>63</v>
      </c>
      <c r="B166" s="6">
        <v>45658</v>
      </c>
      <c r="C166" s="5" t="s">
        <v>20</v>
      </c>
      <c r="D166" s="5" t="s">
        <v>28</v>
      </c>
      <c r="E166" s="5">
        <v>72150.53</v>
      </c>
      <c r="F166" s="5">
        <v>9323</v>
      </c>
      <c r="G166" s="5">
        <v>0.157</v>
      </c>
      <c r="H166" s="5">
        <v>22</v>
      </c>
      <c r="I166" s="5">
        <v>82.9</v>
      </c>
      <c r="J166" s="5">
        <v>11.37</v>
      </c>
      <c r="K166" s="5">
        <v>1</v>
      </c>
      <c r="L166" s="5">
        <v>4.3</v>
      </c>
      <c r="M166" s="5">
        <v>825797.91</v>
      </c>
      <c r="N166" s="5">
        <v>130945.24</v>
      </c>
    </row>
    <row r="167" spans="1:14">
      <c r="A167" s="5" t="s">
        <v>63</v>
      </c>
      <c r="B167" s="6">
        <v>45689</v>
      </c>
      <c r="C167" s="5" t="s">
        <v>20</v>
      </c>
      <c r="D167" s="5" t="s">
        <v>28</v>
      </c>
      <c r="E167" s="5">
        <v>35303.300000000003</v>
      </c>
      <c r="F167" s="5">
        <v>8789</v>
      </c>
      <c r="G167" s="5">
        <v>0.123</v>
      </c>
      <c r="H167" s="5">
        <v>22</v>
      </c>
      <c r="I167" s="5">
        <v>86.1</v>
      </c>
      <c r="J167" s="5">
        <v>9.43</v>
      </c>
      <c r="K167" s="5">
        <v>0</v>
      </c>
      <c r="L167" s="5">
        <v>4.2</v>
      </c>
      <c r="M167" s="5">
        <v>706285.52</v>
      </c>
      <c r="N167" s="5">
        <v>138014.72</v>
      </c>
    </row>
    <row r="168" spans="1:14">
      <c r="A168" s="5" t="s">
        <v>63</v>
      </c>
      <c r="B168" s="6">
        <v>45717</v>
      </c>
      <c r="C168" s="5" t="s">
        <v>20</v>
      </c>
      <c r="D168" s="5" t="s">
        <v>28</v>
      </c>
      <c r="E168" s="5">
        <v>30301.86</v>
      </c>
      <c r="F168" s="5">
        <v>6939</v>
      </c>
      <c r="G168" s="5">
        <v>0.09</v>
      </c>
      <c r="H168" s="5">
        <v>16</v>
      </c>
      <c r="I168" s="5">
        <v>90.3</v>
      </c>
      <c r="J168" s="5">
        <v>3.49</v>
      </c>
      <c r="K168" s="5">
        <v>0</v>
      </c>
      <c r="L168" s="5">
        <v>4</v>
      </c>
      <c r="M168" s="5">
        <v>665534.69999999995</v>
      </c>
      <c r="N168" s="5">
        <v>113167.73</v>
      </c>
    </row>
    <row r="169" spans="1:14">
      <c r="A169" s="5" t="s">
        <v>63</v>
      </c>
      <c r="B169" s="6">
        <v>45748</v>
      </c>
      <c r="C169" s="5" t="s">
        <v>20</v>
      </c>
      <c r="D169" s="5" t="s">
        <v>28</v>
      </c>
      <c r="E169" s="5">
        <v>78432.14</v>
      </c>
      <c r="F169" s="5">
        <v>9440</v>
      </c>
      <c r="G169" s="5">
        <v>0.126</v>
      </c>
      <c r="H169" s="5">
        <v>23</v>
      </c>
      <c r="I169" s="5">
        <v>89.2</v>
      </c>
      <c r="J169" s="5">
        <v>7.86</v>
      </c>
      <c r="K169" s="5">
        <v>0</v>
      </c>
      <c r="L169" s="5">
        <v>4.0999999999999996</v>
      </c>
      <c r="M169" s="5">
        <v>820729.29</v>
      </c>
      <c r="N169" s="5">
        <v>159325.47</v>
      </c>
    </row>
    <row r="170" spans="1:14">
      <c r="A170" s="5" t="s">
        <v>64</v>
      </c>
      <c r="B170" s="6">
        <v>45658</v>
      </c>
      <c r="C170" s="5" t="s">
        <v>15</v>
      </c>
      <c r="D170" s="5" t="s">
        <v>16</v>
      </c>
      <c r="E170" s="5">
        <v>62059.18</v>
      </c>
      <c r="F170" s="5">
        <v>9374</v>
      </c>
      <c r="G170" s="5">
        <v>0.13600000000000001</v>
      </c>
      <c r="H170" s="5">
        <v>25</v>
      </c>
      <c r="I170" s="5">
        <v>87.1</v>
      </c>
      <c r="J170" s="5">
        <v>12.55</v>
      </c>
      <c r="K170" s="5">
        <v>0</v>
      </c>
      <c r="L170" s="5">
        <v>4.9000000000000004</v>
      </c>
      <c r="M170" s="5">
        <v>739831.73</v>
      </c>
      <c r="N170" s="5">
        <v>119490.21</v>
      </c>
    </row>
    <row r="171" spans="1:14">
      <c r="A171" s="5" t="s">
        <v>64</v>
      </c>
      <c r="B171" s="6">
        <v>45689</v>
      </c>
      <c r="C171" s="5" t="s">
        <v>15</v>
      </c>
      <c r="D171" s="5" t="s">
        <v>16</v>
      </c>
      <c r="E171" s="5">
        <v>32834.480000000003</v>
      </c>
      <c r="F171" s="5">
        <v>7576</v>
      </c>
      <c r="G171" s="5">
        <v>9.9000000000000005E-2</v>
      </c>
      <c r="H171" s="5">
        <v>15</v>
      </c>
      <c r="I171" s="5">
        <v>84.1</v>
      </c>
      <c r="J171" s="5">
        <v>3.48</v>
      </c>
      <c r="K171" s="5">
        <v>0</v>
      </c>
      <c r="L171" s="5">
        <v>5</v>
      </c>
      <c r="M171" s="5">
        <v>593637.14</v>
      </c>
      <c r="N171" s="5">
        <v>106648.14</v>
      </c>
    </row>
    <row r="172" spans="1:14">
      <c r="A172" s="5" t="s">
        <v>64</v>
      </c>
      <c r="B172" s="6">
        <v>45717</v>
      </c>
      <c r="C172" s="5" t="s">
        <v>15</v>
      </c>
      <c r="D172" s="5" t="s">
        <v>16</v>
      </c>
      <c r="E172" s="5">
        <v>50825.08</v>
      </c>
      <c r="F172" s="5">
        <v>8949</v>
      </c>
      <c r="G172" s="5">
        <v>0.157</v>
      </c>
      <c r="H172" s="5">
        <v>21</v>
      </c>
      <c r="I172" s="5">
        <v>84.7</v>
      </c>
      <c r="J172" s="5">
        <v>7.73</v>
      </c>
      <c r="K172" s="5">
        <v>0</v>
      </c>
      <c r="L172" s="5">
        <v>4.9000000000000004</v>
      </c>
      <c r="M172" s="5">
        <v>769702.76</v>
      </c>
      <c r="N172" s="5">
        <v>158697</v>
      </c>
    </row>
    <row r="173" spans="1:14">
      <c r="A173" s="5" t="s">
        <v>64</v>
      </c>
      <c r="B173" s="6">
        <v>45748</v>
      </c>
      <c r="C173" s="5" t="s">
        <v>15</v>
      </c>
      <c r="D173" s="5" t="s">
        <v>16</v>
      </c>
      <c r="E173" s="5">
        <v>36606.51</v>
      </c>
      <c r="F173" s="5">
        <v>7671</v>
      </c>
      <c r="G173" s="5">
        <v>0.11799999999999999</v>
      </c>
      <c r="H173" s="5">
        <v>18</v>
      </c>
      <c r="I173" s="5">
        <v>89.8</v>
      </c>
      <c r="J173" s="5">
        <v>0.25</v>
      </c>
      <c r="K173" s="5">
        <v>0</v>
      </c>
      <c r="L173" s="5">
        <v>4.4000000000000004</v>
      </c>
      <c r="M173" s="5">
        <v>679731.57</v>
      </c>
      <c r="N173" s="5">
        <v>121546.42</v>
      </c>
    </row>
    <row r="174" spans="1:14">
      <c r="A174" s="5" t="s">
        <v>65</v>
      </c>
      <c r="B174" s="6">
        <v>45658</v>
      </c>
      <c r="C174" s="5" t="s">
        <v>15</v>
      </c>
      <c r="D174" s="5" t="s">
        <v>16</v>
      </c>
      <c r="E174" s="5">
        <v>65237.79</v>
      </c>
      <c r="F174" s="5">
        <v>8741</v>
      </c>
      <c r="G174" s="5">
        <v>0.157</v>
      </c>
      <c r="H174" s="5">
        <v>20</v>
      </c>
      <c r="I174" s="5">
        <v>94.4</v>
      </c>
      <c r="J174" s="5">
        <v>6.43</v>
      </c>
      <c r="K174" s="5">
        <v>0</v>
      </c>
      <c r="L174" s="5">
        <v>3.3</v>
      </c>
      <c r="M174" s="5">
        <v>780344.18</v>
      </c>
      <c r="N174" s="5">
        <v>118239.09</v>
      </c>
    </row>
    <row r="175" spans="1:14">
      <c r="A175" s="5" t="s">
        <v>65</v>
      </c>
      <c r="B175" s="6">
        <v>45689</v>
      </c>
      <c r="C175" s="5" t="s">
        <v>15</v>
      </c>
      <c r="D175" s="5" t="s">
        <v>16</v>
      </c>
      <c r="E175" s="5">
        <v>43645.98</v>
      </c>
      <c r="F175" s="5">
        <v>9480</v>
      </c>
      <c r="G175" s="5">
        <v>0.109</v>
      </c>
      <c r="H175" s="5">
        <v>22</v>
      </c>
      <c r="I175" s="5">
        <v>89</v>
      </c>
      <c r="J175" s="5">
        <v>2.11</v>
      </c>
      <c r="K175" s="5">
        <v>0</v>
      </c>
      <c r="L175" s="5">
        <v>3.1</v>
      </c>
      <c r="M175" s="5">
        <v>721364.11</v>
      </c>
      <c r="N175" s="5">
        <v>147272.81</v>
      </c>
    </row>
    <row r="176" spans="1:14">
      <c r="A176" s="5" t="s">
        <v>65</v>
      </c>
      <c r="B176" s="6">
        <v>45717</v>
      </c>
      <c r="C176" s="5" t="s">
        <v>15</v>
      </c>
      <c r="D176" s="5" t="s">
        <v>16</v>
      </c>
      <c r="E176" s="5">
        <v>68040.149999999994</v>
      </c>
      <c r="F176" s="5">
        <v>9826</v>
      </c>
      <c r="G176" s="5">
        <v>0.125</v>
      </c>
      <c r="H176" s="5">
        <v>20</v>
      </c>
      <c r="I176" s="5">
        <v>83.9</v>
      </c>
      <c r="J176" s="5">
        <v>9.1199999999999992</v>
      </c>
      <c r="K176" s="5">
        <v>0</v>
      </c>
      <c r="L176" s="5">
        <v>3.6</v>
      </c>
      <c r="M176" s="5">
        <v>758138.29</v>
      </c>
      <c r="N176" s="5">
        <v>132975.26</v>
      </c>
    </row>
    <row r="177" spans="1:14">
      <c r="A177" s="5" t="s">
        <v>65</v>
      </c>
      <c r="B177" s="6">
        <v>45748</v>
      </c>
      <c r="C177" s="5" t="s">
        <v>15</v>
      </c>
      <c r="D177" s="5" t="s">
        <v>16</v>
      </c>
      <c r="E177" s="5">
        <v>63043.94</v>
      </c>
      <c r="F177" s="5">
        <v>10402</v>
      </c>
      <c r="G177" s="5">
        <v>0.159</v>
      </c>
      <c r="H177" s="5">
        <v>23</v>
      </c>
      <c r="I177" s="5">
        <v>93.9</v>
      </c>
      <c r="J177" s="5">
        <v>2.71</v>
      </c>
      <c r="K177" s="5">
        <v>0</v>
      </c>
      <c r="L177" s="5">
        <v>3.1</v>
      </c>
      <c r="M177" s="5">
        <v>804264</v>
      </c>
      <c r="N177" s="5">
        <v>167117.91</v>
      </c>
    </row>
    <row r="178" spans="1:14">
      <c r="A178" s="5" t="s">
        <v>66</v>
      </c>
      <c r="B178" s="6">
        <v>45658</v>
      </c>
      <c r="C178" s="5" t="s">
        <v>27</v>
      </c>
      <c r="D178" s="5" t="s">
        <v>21</v>
      </c>
      <c r="E178" s="5">
        <v>67494.09</v>
      </c>
      <c r="F178" s="5">
        <v>12361</v>
      </c>
      <c r="G178" s="5">
        <v>4.5999999999999999E-2</v>
      </c>
      <c r="H178" s="5">
        <v>24</v>
      </c>
      <c r="I178" s="5">
        <v>76.599999999999994</v>
      </c>
      <c r="J178" s="5">
        <v>3.65</v>
      </c>
      <c r="K178" s="5">
        <v>1</v>
      </c>
      <c r="L178" s="5">
        <v>3.7</v>
      </c>
      <c r="M178" s="5">
        <v>887537.75</v>
      </c>
      <c r="N178" s="5">
        <v>160362.92000000001</v>
      </c>
    </row>
    <row r="179" spans="1:14">
      <c r="A179" s="5" t="s">
        <v>66</v>
      </c>
      <c r="B179" s="6">
        <v>45689</v>
      </c>
      <c r="C179" s="5" t="s">
        <v>27</v>
      </c>
      <c r="D179" s="5" t="s">
        <v>21</v>
      </c>
      <c r="E179" s="5">
        <v>29389.32</v>
      </c>
      <c r="F179" s="5">
        <v>7925</v>
      </c>
      <c r="G179" s="5">
        <v>0.17699999999999999</v>
      </c>
      <c r="H179" s="5">
        <v>21</v>
      </c>
      <c r="I179" s="5">
        <v>90.9</v>
      </c>
      <c r="J179" s="5">
        <v>7.86</v>
      </c>
      <c r="K179" s="5">
        <v>0</v>
      </c>
      <c r="L179" s="5">
        <v>4</v>
      </c>
      <c r="M179" s="5">
        <v>783582</v>
      </c>
      <c r="N179" s="5">
        <v>130670.93</v>
      </c>
    </row>
    <row r="180" spans="1:14">
      <c r="A180" s="5" t="s">
        <v>66</v>
      </c>
      <c r="B180" s="6">
        <v>45717</v>
      </c>
      <c r="C180" s="5" t="s">
        <v>27</v>
      </c>
      <c r="D180" s="5" t="s">
        <v>21</v>
      </c>
      <c r="E180" s="5">
        <v>40535.089999999997</v>
      </c>
      <c r="F180" s="5">
        <v>8870</v>
      </c>
      <c r="G180" s="5">
        <v>4.1000000000000002E-2</v>
      </c>
      <c r="H180" s="5">
        <v>21</v>
      </c>
      <c r="I180" s="5">
        <v>86.6</v>
      </c>
      <c r="J180" s="5">
        <v>0.3</v>
      </c>
      <c r="K180" s="5">
        <v>0</v>
      </c>
      <c r="L180" s="5">
        <v>4.0999999999999996</v>
      </c>
      <c r="M180" s="5">
        <v>781955.52</v>
      </c>
      <c r="N180" s="5">
        <v>152578.71</v>
      </c>
    </row>
    <row r="181" spans="1:14">
      <c r="A181" s="5" t="s">
        <v>66</v>
      </c>
      <c r="B181" s="6">
        <v>45748</v>
      </c>
      <c r="C181" s="5" t="s">
        <v>27</v>
      </c>
      <c r="D181" s="5" t="s">
        <v>21</v>
      </c>
      <c r="E181" s="5">
        <v>74881.56</v>
      </c>
      <c r="F181" s="5">
        <v>9999</v>
      </c>
      <c r="G181" s="5">
        <v>1.2999999999999999E-2</v>
      </c>
      <c r="H181" s="5">
        <v>20</v>
      </c>
      <c r="I181" s="5">
        <v>89.6</v>
      </c>
      <c r="J181" s="5">
        <v>8.44</v>
      </c>
      <c r="K181" s="5">
        <v>0</v>
      </c>
      <c r="L181" s="5">
        <v>4.0999999999999996</v>
      </c>
      <c r="M181" s="5">
        <v>898031.04</v>
      </c>
      <c r="N181" s="5">
        <v>138666.5</v>
      </c>
    </row>
    <row r="182" spans="1:14">
      <c r="A182" s="5" t="s">
        <v>67</v>
      </c>
      <c r="B182" s="6">
        <v>45658</v>
      </c>
      <c r="C182" s="5" t="s">
        <v>27</v>
      </c>
      <c r="D182" s="5" t="s">
        <v>16</v>
      </c>
      <c r="E182" s="5">
        <v>68491.11</v>
      </c>
      <c r="F182" s="5">
        <v>11154</v>
      </c>
      <c r="G182" s="5">
        <v>1E-3</v>
      </c>
      <c r="H182" s="5">
        <v>24</v>
      </c>
      <c r="I182" s="5">
        <v>89.4</v>
      </c>
      <c r="J182" s="5">
        <v>5.27</v>
      </c>
      <c r="K182" s="5">
        <v>1</v>
      </c>
      <c r="L182" s="5">
        <v>3.9</v>
      </c>
      <c r="M182" s="5">
        <v>855341.28</v>
      </c>
      <c r="N182" s="5">
        <v>175823.8</v>
      </c>
    </row>
    <row r="183" spans="1:14">
      <c r="A183" s="5" t="s">
        <v>67</v>
      </c>
      <c r="B183" s="6">
        <v>45689</v>
      </c>
      <c r="C183" s="5" t="s">
        <v>27</v>
      </c>
      <c r="D183" s="5" t="s">
        <v>16</v>
      </c>
      <c r="E183" s="5">
        <v>45209.25</v>
      </c>
      <c r="F183" s="5">
        <v>9287</v>
      </c>
      <c r="G183" s="5">
        <v>0.14099999999999999</v>
      </c>
      <c r="H183" s="5">
        <v>22</v>
      </c>
      <c r="I183" s="5">
        <v>86.4</v>
      </c>
      <c r="J183" s="5">
        <v>13.22</v>
      </c>
      <c r="K183" s="5">
        <v>0</v>
      </c>
      <c r="L183" s="5">
        <v>3.6</v>
      </c>
      <c r="M183" s="5">
        <v>751393.88</v>
      </c>
      <c r="N183" s="5">
        <v>91480.320000000007</v>
      </c>
    </row>
    <row r="184" spans="1:14">
      <c r="A184" s="5" t="s">
        <v>67</v>
      </c>
      <c r="B184" s="6">
        <v>45717</v>
      </c>
      <c r="C184" s="5" t="s">
        <v>27</v>
      </c>
      <c r="D184" s="5" t="s">
        <v>16</v>
      </c>
      <c r="E184" s="5">
        <v>63010.23</v>
      </c>
      <c r="F184" s="5">
        <v>9812</v>
      </c>
      <c r="G184" s="5">
        <v>0.113</v>
      </c>
      <c r="H184" s="5">
        <v>24</v>
      </c>
      <c r="I184" s="5">
        <v>76.8</v>
      </c>
      <c r="J184" s="5">
        <v>1.02</v>
      </c>
      <c r="K184" s="5">
        <v>1</v>
      </c>
      <c r="L184" s="5">
        <v>3.8</v>
      </c>
      <c r="M184" s="5">
        <v>761077.08</v>
      </c>
      <c r="N184" s="5">
        <v>113605.93</v>
      </c>
    </row>
    <row r="185" spans="1:14">
      <c r="A185" s="5" t="s">
        <v>67</v>
      </c>
      <c r="B185" s="6">
        <v>45748</v>
      </c>
      <c r="C185" s="5" t="s">
        <v>27</v>
      </c>
      <c r="D185" s="5" t="s">
        <v>16</v>
      </c>
      <c r="E185" s="5">
        <v>57948.88</v>
      </c>
      <c r="F185" s="5">
        <v>10741</v>
      </c>
      <c r="G185" s="5">
        <v>7.0000000000000007E-2</v>
      </c>
      <c r="H185" s="5">
        <v>25</v>
      </c>
      <c r="I185" s="5">
        <v>90.1</v>
      </c>
      <c r="J185" s="5">
        <v>4.03</v>
      </c>
      <c r="K185" s="5">
        <v>0</v>
      </c>
      <c r="L185" s="5">
        <v>3.1</v>
      </c>
      <c r="M185" s="5">
        <v>819660.59</v>
      </c>
      <c r="N185" s="5">
        <v>172699.95</v>
      </c>
    </row>
    <row r="186" spans="1:14">
      <c r="A186" s="5" t="s">
        <v>68</v>
      </c>
      <c r="B186" s="6">
        <v>45658</v>
      </c>
      <c r="C186" s="5" t="s">
        <v>20</v>
      </c>
      <c r="D186" s="5" t="s">
        <v>18</v>
      </c>
      <c r="E186" s="5">
        <v>71941.62</v>
      </c>
      <c r="F186" s="5">
        <v>6084</v>
      </c>
      <c r="G186" s="5">
        <v>7.1999999999999995E-2</v>
      </c>
      <c r="H186" s="5">
        <v>13</v>
      </c>
      <c r="I186" s="5">
        <v>93.7</v>
      </c>
      <c r="J186" s="5">
        <v>2.34</v>
      </c>
      <c r="K186" s="5">
        <v>0</v>
      </c>
      <c r="L186" s="5">
        <v>4.4000000000000004</v>
      </c>
      <c r="M186" s="5">
        <v>681855.56</v>
      </c>
      <c r="N186" s="5">
        <v>117645.61</v>
      </c>
    </row>
    <row r="187" spans="1:14">
      <c r="A187" s="5" t="s">
        <v>68</v>
      </c>
      <c r="B187" s="6">
        <v>45689</v>
      </c>
      <c r="C187" s="5" t="s">
        <v>20</v>
      </c>
      <c r="D187" s="5" t="s">
        <v>18</v>
      </c>
      <c r="E187" s="5">
        <v>57147.88</v>
      </c>
      <c r="F187" s="5">
        <v>5252</v>
      </c>
      <c r="G187" s="5">
        <v>0.161</v>
      </c>
      <c r="H187" s="5">
        <v>15</v>
      </c>
      <c r="I187" s="5">
        <v>95.5</v>
      </c>
      <c r="J187" s="5">
        <v>8.51</v>
      </c>
      <c r="K187" s="5">
        <v>0</v>
      </c>
      <c r="L187" s="5">
        <v>4.4000000000000004</v>
      </c>
      <c r="M187" s="5">
        <v>678311.17</v>
      </c>
      <c r="N187" s="5">
        <v>132029.76000000001</v>
      </c>
    </row>
    <row r="188" spans="1:14">
      <c r="A188" s="5" t="s">
        <v>68</v>
      </c>
      <c r="B188" s="6">
        <v>45717</v>
      </c>
      <c r="C188" s="5" t="s">
        <v>20</v>
      </c>
      <c r="D188" s="5" t="s">
        <v>18</v>
      </c>
      <c r="E188" s="5">
        <v>48031.74</v>
      </c>
      <c r="F188" s="5">
        <v>6516</v>
      </c>
      <c r="G188" s="5">
        <v>6.7000000000000004E-2</v>
      </c>
      <c r="H188" s="5">
        <v>14</v>
      </c>
      <c r="I188" s="5">
        <v>99</v>
      </c>
      <c r="J188" s="5">
        <v>0.48</v>
      </c>
      <c r="K188" s="5">
        <v>1</v>
      </c>
      <c r="L188" s="5">
        <v>4.3</v>
      </c>
      <c r="M188" s="5">
        <v>765906.95</v>
      </c>
      <c r="N188" s="5">
        <v>114005.9</v>
      </c>
    </row>
    <row r="189" spans="1:14">
      <c r="A189" s="5" t="s">
        <v>68</v>
      </c>
      <c r="B189" s="6">
        <v>45748</v>
      </c>
      <c r="C189" s="5" t="s">
        <v>20</v>
      </c>
      <c r="D189" s="5" t="s">
        <v>18</v>
      </c>
      <c r="E189" s="5">
        <v>72784.800000000003</v>
      </c>
      <c r="F189" s="5">
        <v>7932</v>
      </c>
      <c r="G189" s="5">
        <v>9.4E-2</v>
      </c>
      <c r="H189" s="5">
        <v>20</v>
      </c>
      <c r="I189" s="5">
        <v>74.900000000000006</v>
      </c>
      <c r="J189" s="5">
        <v>13.62</v>
      </c>
      <c r="K189" s="5">
        <v>0</v>
      </c>
      <c r="L189" s="5">
        <v>4.2</v>
      </c>
      <c r="M189" s="5">
        <v>712546.38</v>
      </c>
      <c r="N189" s="5">
        <v>101480.04</v>
      </c>
    </row>
    <row r="190" spans="1:14">
      <c r="A190" s="5" t="s">
        <v>69</v>
      </c>
      <c r="B190" s="6">
        <v>45658</v>
      </c>
      <c r="C190" s="5" t="s">
        <v>15</v>
      </c>
      <c r="D190" s="5" t="s">
        <v>18</v>
      </c>
      <c r="E190" s="5">
        <v>71641.899999999994</v>
      </c>
      <c r="F190" s="5">
        <v>3506</v>
      </c>
      <c r="G190" s="5">
        <v>0</v>
      </c>
      <c r="H190" s="5">
        <v>11</v>
      </c>
      <c r="I190" s="5">
        <v>86.4</v>
      </c>
      <c r="J190" s="5">
        <v>7.77</v>
      </c>
      <c r="K190" s="5">
        <v>0</v>
      </c>
      <c r="L190" s="5">
        <v>4.0999999999999996</v>
      </c>
      <c r="M190" s="5">
        <v>625993.82999999996</v>
      </c>
      <c r="N190" s="5">
        <v>98960.320000000007</v>
      </c>
    </row>
    <row r="191" spans="1:14">
      <c r="A191" s="5" t="s">
        <v>69</v>
      </c>
      <c r="B191" s="6">
        <v>45689</v>
      </c>
      <c r="C191" s="5" t="s">
        <v>15</v>
      </c>
      <c r="D191" s="5" t="s">
        <v>18</v>
      </c>
      <c r="E191" s="5">
        <v>55788.61</v>
      </c>
      <c r="F191" s="5">
        <v>2312</v>
      </c>
      <c r="G191" s="5">
        <v>5.8000000000000003E-2</v>
      </c>
      <c r="H191" s="5">
        <v>10</v>
      </c>
      <c r="I191" s="5">
        <v>91.3</v>
      </c>
      <c r="J191" s="5">
        <v>1.99</v>
      </c>
      <c r="K191" s="5">
        <v>0</v>
      </c>
      <c r="L191" s="5">
        <v>3.8</v>
      </c>
      <c r="M191" s="5">
        <v>550962.93000000005</v>
      </c>
      <c r="N191" s="5">
        <v>97144.58</v>
      </c>
    </row>
    <row r="192" spans="1:14">
      <c r="A192" s="5" t="s">
        <v>69</v>
      </c>
      <c r="B192" s="6">
        <v>45717</v>
      </c>
      <c r="C192" s="5" t="s">
        <v>15</v>
      </c>
      <c r="D192" s="5" t="s">
        <v>18</v>
      </c>
      <c r="E192" s="5">
        <v>37705.879999999997</v>
      </c>
      <c r="F192" s="5">
        <v>1268</v>
      </c>
      <c r="G192" s="5">
        <v>0.25900000000000001</v>
      </c>
      <c r="H192" s="5">
        <v>9</v>
      </c>
      <c r="I192" s="5">
        <v>84.1</v>
      </c>
      <c r="J192" s="5">
        <v>4.7699999999999996</v>
      </c>
      <c r="K192" s="5">
        <v>0</v>
      </c>
      <c r="L192" s="5">
        <v>3.8</v>
      </c>
      <c r="M192" s="5">
        <v>443275.59</v>
      </c>
      <c r="N192" s="5">
        <v>53544.36</v>
      </c>
    </row>
    <row r="193" spans="1:14">
      <c r="A193" s="5" t="s">
        <v>69</v>
      </c>
      <c r="B193" s="6">
        <v>45748</v>
      </c>
      <c r="C193" s="5" t="s">
        <v>15</v>
      </c>
      <c r="D193" s="5" t="s">
        <v>18</v>
      </c>
      <c r="E193" s="5">
        <v>54966.18</v>
      </c>
      <c r="F193" s="5">
        <v>4423</v>
      </c>
      <c r="G193" s="5">
        <v>0.186</v>
      </c>
      <c r="H193" s="5">
        <v>13</v>
      </c>
      <c r="I193" s="5">
        <v>88.7</v>
      </c>
      <c r="J193" s="5">
        <v>0.2</v>
      </c>
      <c r="K193" s="5">
        <v>0</v>
      </c>
      <c r="L193" s="5">
        <v>4.4000000000000004</v>
      </c>
      <c r="M193" s="5">
        <v>554012.06999999995</v>
      </c>
      <c r="N193" s="5">
        <v>81101.62</v>
      </c>
    </row>
    <row r="194" spans="1:14">
      <c r="A194" s="5" t="s">
        <v>70</v>
      </c>
      <c r="B194" s="6">
        <v>45658</v>
      </c>
      <c r="C194" s="5" t="s">
        <v>27</v>
      </c>
      <c r="D194" s="5" t="s">
        <v>16</v>
      </c>
      <c r="E194" s="5">
        <v>81796.740000000005</v>
      </c>
      <c r="F194" s="5">
        <v>6177</v>
      </c>
      <c r="G194" s="5">
        <v>0.16400000000000001</v>
      </c>
      <c r="H194" s="5">
        <v>14</v>
      </c>
      <c r="I194" s="5">
        <v>87.9</v>
      </c>
      <c r="J194" s="5">
        <v>0.53</v>
      </c>
      <c r="K194" s="5">
        <v>0</v>
      </c>
      <c r="L194" s="5">
        <v>3.2</v>
      </c>
      <c r="M194" s="5">
        <v>643428.85</v>
      </c>
      <c r="N194" s="5">
        <v>94477.63</v>
      </c>
    </row>
    <row r="195" spans="1:14">
      <c r="A195" s="5" t="s">
        <v>70</v>
      </c>
      <c r="B195" s="6">
        <v>45689</v>
      </c>
      <c r="C195" s="5" t="s">
        <v>27</v>
      </c>
      <c r="D195" s="5" t="s">
        <v>16</v>
      </c>
      <c r="E195" s="5">
        <v>51133.43</v>
      </c>
      <c r="F195" s="5">
        <v>5150</v>
      </c>
      <c r="G195" s="5">
        <v>0.15</v>
      </c>
      <c r="H195" s="5">
        <v>12</v>
      </c>
      <c r="I195" s="5">
        <v>88.5</v>
      </c>
      <c r="J195" s="5">
        <v>1.54</v>
      </c>
      <c r="K195" s="5">
        <v>0</v>
      </c>
      <c r="L195" s="5">
        <v>3.2</v>
      </c>
      <c r="M195" s="5">
        <v>611924.27</v>
      </c>
      <c r="N195" s="5">
        <v>115488.75</v>
      </c>
    </row>
    <row r="196" spans="1:14">
      <c r="A196" s="5" t="s">
        <v>70</v>
      </c>
      <c r="B196" s="6">
        <v>45717</v>
      </c>
      <c r="C196" s="5" t="s">
        <v>27</v>
      </c>
      <c r="D196" s="5" t="s">
        <v>16</v>
      </c>
      <c r="E196" s="5">
        <v>40220.18</v>
      </c>
      <c r="F196" s="5">
        <v>3783</v>
      </c>
      <c r="G196" s="5">
        <v>8.8999999999999996E-2</v>
      </c>
      <c r="H196" s="5">
        <v>14</v>
      </c>
      <c r="I196" s="5">
        <v>86.6</v>
      </c>
      <c r="J196" s="5">
        <v>3.63</v>
      </c>
      <c r="K196" s="5">
        <v>0</v>
      </c>
      <c r="L196" s="5">
        <v>3.7</v>
      </c>
      <c r="M196" s="5">
        <v>559422.02</v>
      </c>
      <c r="N196" s="5">
        <v>73528.740000000005</v>
      </c>
    </row>
    <row r="197" spans="1:14">
      <c r="A197" s="5" t="s">
        <v>70</v>
      </c>
      <c r="B197" s="6">
        <v>45748</v>
      </c>
      <c r="C197" s="5" t="s">
        <v>27</v>
      </c>
      <c r="D197" s="5" t="s">
        <v>16</v>
      </c>
      <c r="E197" s="5">
        <v>41657.64</v>
      </c>
      <c r="F197" s="5">
        <v>3135</v>
      </c>
      <c r="G197" s="5">
        <v>0.22900000000000001</v>
      </c>
      <c r="H197" s="5">
        <v>7</v>
      </c>
      <c r="I197" s="5">
        <v>85.4</v>
      </c>
      <c r="J197" s="5">
        <v>13.48</v>
      </c>
      <c r="K197" s="5">
        <v>0</v>
      </c>
      <c r="L197" s="5"/>
      <c r="M197" s="5">
        <v>449465.06</v>
      </c>
      <c r="N197" s="5">
        <v>65694.78</v>
      </c>
    </row>
    <row r="198" spans="1:14">
      <c r="A198" s="5" t="s">
        <v>71</v>
      </c>
      <c r="B198" s="6">
        <v>45658</v>
      </c>
      <c r="C198" s="5" t="s">
        <v>20</v>
      </c>
      <c r="D198" s="5" t="s">
        <v>16</v>
      </c>
      <c r="E198" s="5">
        <v>71851.45</v>
      </c>
      <c r="F198" s="5">
        <v>4970</v>
      </c>
      <c r="G198" s="5">
        <v>9.8000000000000004E-2</v>
      </c>
      <c r="H198" s="5">
        <v>11</v>
      </c>
      <c r="I198" s="5">
        <v>89.6</v>
      </c>
      <c r="J198" s="5">
        <v>0.2</v>
      </c>
      <c r="K198" s="5">
        <v>0</v>
      </c>
      <c r="L198" s="5">
        <v>4.2</v>
      </c>
      <c r="M198" s="5">
        <v>691447.43</v>
      </c>
      <c r="N198" s="5">
        <v>114077.69</v>
      </c>
    </row>
    <row r="199" spans="1:14">
      <c r="A199" s="5" t="s">
        <v>71</v>
      </c>
      <c r="B199" s="6">
        <v>45689</v>
      </c>
      <c r="C199" s="5" t="s">
        <v>20</v>
      </c>
      <c r="D199" s="5" t="s">
        <v>16</v>
      </c>
      <c r="E199" s="5">
        <v>54002.83</v>
      </c>
      <c r="F199" s="5">
        <v>4366</v>
      </c>
      <c r="G199" s="5">
        <v>2.7E-2</v>
      </c>
      <c r="H199" s="5">
        <v>15</v>
      </c>
      <c r="I199" s="5">
        <v>90.6</v>
      </c>
      <c r="J199" s="5">
        <v>12.82</v>
      </c>
      <c r="K199" s="5">
        <v>0</v>
      </c>
      <c r="L199" s="5">
        <v>4.5999999999999996</v>
      </c>
      <c r="M199" s="5">
        <v>574066.61</v>
      </c>
      <c r="N199" s="5">
        <v>124674.67</v>
      </c>
    </row>
    <row r="200" spans="1:14">
      <c r="A200" s="5" t="s">
        <v>71</v>
      </c>
      <c r="B200" s="6">
        <v>45717</v>
      </c>
      <c r="C200" s="5" t="s">
        <v>20</v>
      </c>
      <c r="D200" s="5" t="s">
        <v>16</v>
      </c>
      <c r="E200" s="5">
        <v>54479.33</v>
      </c>
      <c r="F200" s="5">
        <v>5012</v>
      </c>
      <c r="G200" s="5">
        <v>0.28399999999999997</v>
      </c>
      <c r="H200" s="5">
        <v>13</v>
      </c>
      <c r="I200" s="5">
        <v>86</v>
      </c>
      <c r="J200" s="5">
        <v>2.2400000000000002</v>
      </c>
      <c r="K200" s="5">
        <v>1</v>
      </c>
      <c r="L200" s="5">
        <v>4.3</v>
      </c>
      <c r="M200" s="5">
        <v>578949.84</v>
      </c>
      <c r="N200" s="5">
        <v>80253.649999999994</v>
      </c>
    </row>
    <row r="201" spans="1:14">
      <c r="A201" s="5" t="s">
        <v>71</v>
      </c>
      <c r="B201" s="6">
        <v>45748</v>
      </c>
      <c r="C201" s="5" t="s">
        <v>20</v>
      </c>
      <c r="D201" s="5" t="s">
        <v>16</v>
      </c>
      <c r="E201" s="5">
        <v>61391.8</v>
      </c>
      <c r="F201" s="5">
        <v>5575</v>
      </c>
      <c r="G201" s="5">
        <v>0.189</v>
      </c>
      <c r="H201" s="5">
        <v>18</v>
      </c>
      <c r="I201" s="5">
        <v>90</v>
      </c>
      <c r="J201" s="5">
        <v>1.8</v>
      </c>
      <c r="K201" s="5">
        <v>0</v>
      </c>
      <c r="L201" s="5">
        <v>4.8</v>
      </c>
      <c r="M201" s="5">
        <v>735786.64</v>
      </c>
      <c r="N201" s="5">
        <v>126540.66</v>
      </c>
    </row>
    <row r="202" spans="1:14">
      <c r="A202" s="5" t="s">
        <v>72</v>
      </c>
      <c r="B202" s="6">
        <v>45658</v>
      </c>
      <c r="C202" s="5" t="s">
        <v>15</v>
      </c>
      <c r="D202" s="5" t="s">
        <v>21</v>
      </c>
      <c r="E202" s="5">
        <v>22312.93</v>
      </c>
      <c r="F202" s="5">
        <v>5955</v>
      </c>
      <c r="G202" s="5">
        <v>0.123</v>
      </c>
      <c r="H202" s="5">
        <v>13</v>
      </c>
      <c r="I202" s="5">
        <v>84.2</v>
      </c>
      <c r="J202" s="5">
        <v>0.41</v>
      </c>
      <c r="K202" s="5">
        <v>1</v>
      </c>
      <c r="L202" s="5">
        <v>4.5999999999999996</v>
      </c>
      <c r="M202" s="5">
        <v>598904.9</v>
      </c>
      <c r="N202" s="5">
        <v>72861</v>
      </c>
    </row>
    <row r="203" spans="1:14">
      <c r="A203" s="5" t="s">
        <v>72</v>
      </c>
      <c r="B203" s="6">
        <v>45689</v>
      </c>
      <c r="C203" s="5" t="s">
        <v>15</v>
      </c>
      <c r="D203" s="5" t="s">
        <v>21</v>
      </c>
      <c r="E203" s="5">
        <v>78111.97</v>
      </c>
      <c r="F203" s="5">
        <v>6389</v>
      </c>
      <c r="G203" s="5">
        <v>0.15</v>
      </c>
      <c r="H203" s="5">
        <v>13</v>
      </c>
      <c r="I203" s="5">
        <v>83.9</v>
      </c>
      <c r="J203" s="5">
        <v>3.05</v>
      </c>
      <c r="K203" s="5">
        <v>0</v>
      </c>
      <c r="L203" s="5">
        <v>4.8</v>
      </c>
      <c r="M203" s="5">
        <v>787715.51</v>
      </c>
      <c r="N203" s="5">
        <v>128969.62</v>
      </c>
    </row>
    <row r="204" spans="1:14">
      <c r="A204" s="5" t="s">
        <v>72</v>
      </c>
      <c r="B204" s="6">
        <v>45717</v>
      </c>
      <c r="C204" s="5" t="s">
        <v>15</v>
      </c>
      <c r="D204" s="5" t="s">
        <v>21</v>
      </c>
      <c r="E204" s="5">
        <v>35203.230000000003</v>
      </c>
      <c r="F204" s="5">
        <v>6896</v>
      </c>
      <c r="G204" s="5">
        <v>3.2000000000000001E-2</v>
      </c>
      <c r="H204" s="5">
        <v>14</v>
      </c>
      <c r="I204" s="5">
        <v>80.8</v>
      </c>
      <c r="J204" s="5">
        <v>8.44</v>
      </c>
      <c r="K204" s="5">
        <v>1</v>
      </c>
      <c r="L204" s="5">
        <v>5</v>
      </c>
      <c r="M204" s="5">
        <v>607084.92000000004</v>
      </c>
      <c r="N204" s="5">
        <v>98558.49</v>
      </c>
    </row>
    <row r="205" spans="1:14">
      <c r="A205" s="5" t="s">
        <v>72</v>
      </c>
      <c r="B205" s="6">
        <v>45748</v>
      </c>
      <c r="C205" s="5" t="s">
        <v>15</v>
      </c>
      <c r="D205" s="5" t="s">
        <v>21</v>
      </c>
      <c r="E205" s="5">
        <v>64104.28</v>
      </c>
      <c r="F205" s="5">
        <v>6015</v>
      </c>
      <c r="G205" s="5">
        <v>0.127</v>
      </c>
      <c r="H205" s="5">
        <v>15</v>
      </c>
      <c r="I205" s="5">
        <v>88.7</v>
      </c>
      <c r="J205" s="5">
        <v>0.78</v>
      </c>
      <c r="K205" s="5">
        <v>0</v>
      </c>
      <c r="L205" s="5">
        <v>4</v>
      </c>
      <c r="M205" s="5">
        <v>650795.49</v>
      </c>
      <c r="N205" s="5">
        <v>103035.89</v>
      </c>
    </row>
    <row r="206" spans="1:14">
      <c r="A206" s="5" t="s">
        <v>73</v>
      </c>
      <c r="B206" s="6">
        <v>45658</v>
      </c>
      <c r="C206" s="5" t="s">
        <v>15</v>
      </c>
      <c r="D206" s="5" t="s">
        <v>28</v>
      </c>
      <c r="E206" s="5">
        <v>92090.14</v>
      </c>
      <c r="F206" s="5">
        <v>9476</v>
      </c>
      <c r="G206" s="5">
        <v>7.0000000000000007E-2</v>
      </c>
      <c r="H206" s="5">
        <v>24</v>
      </c>
      <c r="I206" s="5">
        <v>94.3</v>
      </c>
      <c r="J206" s="5">
        <v>0.87</v>
      </c>
      <c r="K206" s="5">
        <v>0</v>
      </c>
      <c r="L206" s="5">
        <v>3.7</v>
      </c>
      <c r="M206" s="5">
        <v>825060.52</v>
      </c>
      <c r="N206" s="5">
        <v>143613.15</v>
      </c>
    </row>
    <row r="207" spans="1:14">
      <c r="A207" s="5" t="s">
        <v>73</v>
      </c>
      <c r="B207" s="6">
        <v>45689</v>
      </c>
      <c r="C207" s="5" t="s">
        <v>15</v>
      </c>
      <c r="D207" s="5" t="s">
        <v>28</v>
      </c>
      <c r="E207" s="5">
        <v>54300.87</v>
      </c>
      <c r="F207" s="5">
        <v>7875</v>
      </c>
      <c r="G207" s="5">
        <v>0.107</v>
      </c>
      <c r="H207" s="5">
        <v>19</v>
      </c>
      <c r="I207" s="5">
        <v>94.1</v>
      </c>
      <c r="J207" s="5">
        <v>0.95</v>
      </c>
      <c r="K207" s="5">
        <v>0</v>
      </c>
      <c r="L207" s="5">
        <v>3.7</v>
      </c>
      <c r="M207" s="5">
        <v>795464.47</v>
      </c>
      <c r="N207" s="5">
        <v>161150.51999999999</v>
      </c>
    </row>
    <row r="208" spans="1:14">
      <c r="A208" s="5" t="s">
        <v>73</v>
      </c>
      <c r="B208" s="6">
        <v>45717</v>
      </c>
      <c r="C208" s="5" t="s">
        <v>15</v>
      </c>
      <c r="D208" s="5" t="s">
        <v>28</v>
      </c>
      <c r="E208" s="5">
        <v>37983.35</v>
      </c>
      <c r="F208" s="5">
        <v>9283</v>
      </c>
      <c r="G208" s="5">
        <v>0.14899999999999999</v>
      </c>
      <c r="H208" s="5">
        <v>19</v>
      </c>
      <c r="I208" s="5">
        <v>83.2</v>
      </c>
      <c r="J208" s="5">
        <v>3.82</v>
      </c>
      <c r="K208" s="5">
        <v>0</v>
      </c>
      <c r="L208" s="5">
        <v>3.7</v>
      </c>
      <c r="M208" s="5">
        <v>671868.59</v>
      </c>
      <c r="N208" s="5">
        <v>71003.28</v>
      </c>
    </row>
    <row r="209" spans="1:14">
      <c r="A209" s="5" t="s">
        <v>73</v>
      </c>
      <c r="B209" s="6">
        <v>45748</v>
      </c>
      <c r="C209" s="5" t="s">
        <v>15</v>
      </c>
      <c r="D209" s="5" t="s">
        <v>28</v>
      </c>
      <c r="E209" s="5">
        <v>56413.83</v>
      </c>
      <c r="F209" s="5">
        <v>8303</v>
      </c>
      <c r="G209" s="5">
        <v>0.11600000000000001</v>
      </c>
      <c r="H209" s="5">
        <v>18</v>
      </c>
      <c r="I209" s="5">
        <v>93.6</v>
      </c>
      <c r="J209" s="5">
        <v>2.7</v>
      </c>
      <c r="K209" s="5">
        <v>0</v>
      </c>
      <c r="L209" s="5">
        <v>3.7</v>
      </c>
      <c r="M209" s="5">
        <v>675917.63</v>
      </c>
      <c r="N209" s="5">
        <v>112564.75</v>
      </c>
    </row>
    <row r="210" spans="1:14">
      <c r="A210" s="5" t="s">
        <v>74</v>
      </c>
      <c r="B210" s="6">
        <v>45658</v>
      </c>
      <c r="C210" s="5" t="s">
        <v>15</v>
      </c>
      <c r="D210" s="5" t="s">
        <v>18</v>
      </c>
      <c r="E210" s="5">
        <v>63457.19</v>
      </c>
      <c r="F210" s="5">
        <v>10125</v>
      </c>
      <c r="G210" s="5">
        <v>9.7000000000000003E-2</v>
      </c>
      <c r="H210" s="5">
        <v>24</v>
      </c>
      <c r="I210" s="5">
        <v>87</v>
      </c>
      <c r="J210" s="5">
        <v>3.84</v>
      </c>
      <c r="K210" s="5">
        <v>1</v>
      </c>
      <c r="L210" s="5">
        <v>3.7</v>
      </c>
      <c r="M210" s="5">
        <v>810446.53</v>
      </c>
      <c r="N210" s="5">
        <v>200575.34</v>
      </c>
    </row>
    <row r="211" spans="1:14">
      <c r="A211" s="5" t="s">
        <v>74</v>
      </c>
      <c r="B211" s="6">
        <v>45689</v>
      </c>
      <c r="C211" s="5" t="s">
        <v>15</v>
      </c>
      <c r="D211" s="5" t="s">
        <v>18</v>
      </c>
      <c r="E211" s="5">
        <v>62949.7</v>
      </c>
      <c r="F211" s="5">
        <v>9458</v>
      </c>
      <c r="G211" s="5">
        <v>0.17100000000000001</v>
      </c>
      <c r="H211" s="5">
        <v>19</v>
      </c>
      <c r="I211" s="5">
        <v>84.9</v>
      </c>
      <c r="J211" s="5">
        <v>5.09</v>
      </c>
      <c r="K211" s="5">
        <v>0</v>
      </c>
      <c r="L211" s="5">
        <v>3.3</v>
      </c>
      <c r="M211" s="5">
        <v>691288.19</v>
      </c>
      <c r="N211" s="5">
        <v>159074.14000000001</v>
      </c>
    </row>
    <row r="212" spans="1:14">
      <c r="A212" s="5" t="s">
        <v>74</v>
      </c>
      <c r="B212" s="6">
        <v>45717</v>
      </c>
      <c r="C212" s="5" t="s">
        <v>15</v>
      </c>
      <c r="D212" s="5" t="s">
        <v>18</v>
      </c>
      <c r="E212" s="5">
        <v>107970.19</v>
      </c>
      <c r="F212" s="5">
        <v>12870</v>
      </c>
      <c r="G212" s="5">
        <v>2.9000000000000001E-2</v>
      </c>
      <c r="H212" s="5">
        <v>31</v>
      </c>
      <c r="I212" s="5">
        <v>91.7</v>
      </c>
      <c r="J212" s="5">
        <v>3.82</v>
      </c>
      <c r="K212" s="5">
        <v>1</v>
      </c>
      <c r="L212" s="5">
        <v>3.7</v>
      </c>
      <c r="M212" s="5">
        <v>946833.54</v>
      </c>
      <c r="N212" s="5">
        <v>184540.31</v>
      </c>
    </row>
    <row r="213" spans="1:14">
      <c r="A213" s="5" t="s">
        <v>74</v>
      </c>
      <c r="B213" s="6">
        <v>45748</v>
      </c>
      <c r="C213" s="5" t="s">
        <v>15</v>
      </c>
      <c r="D213" s="5" t="s">
        <v>18</v>
      </c>
      <c r="E213" s="5">
        <v>49405.75</v>
      </c>
      <c r="F213" s="5">
        <v>9752</v>
      </c>
      <c r="G213" s="5">
        <v>9.2999999999999999E-2</v>
      </c>
      <c r="H213" s="5">
        <v>21</v>
      </c>
      <c r="I213" s="5">
        <v>87</v>
      </c>
      <c r="J213" s="5">
        <v>12.28</v>
      </c>
      <c r="K213" s="5">
        <v>0</v>
      </c>
      <c r="L213" s="5">
        <v>4.0999999999999996</v>
      </c>
      <c r="M213" s="5">
        <v>761963.23</v>
      </c>
      <c r="N213" s="5">
        <v>150113.60999999999</v>
      </c>
    </row>
    <row r="214" spans="1:14">
      <c r="A214" s="5" t="s">
        <v>75</v>
      </c>
      <c r="B214" s="6">
        <v>45658</v>
      </c>
      <c r="C214" s="5" t="s">
        <v>27</v>
      </c>
      <c r="D214" s="5" t="s">
        <v>16</v>
      </c>
      <c r="E214" s="5">
        <v>50887.46</v>
      </c>
      <c r="F214" s="5">
        <v>9505</v>
      </c>
      <c r="G214" s="5">
        <v>9.0999999999999998E-2</v>
      </c>
      <c r="H214" s="5">
        <v>25</v>
      </c>
      <c r="I214" s="5">
        <v>89.7</v>
      </c>
      <c r="J214" s="5">
        <v>2.8</v>
      </c>
      <c r="K214" s="5">
        <v>0</v>
      </c>
      <c r="L214" s="5">
        <v>4.3</v>
      </c>
      <c r="M214" s="5">
        <v>812152.6</v>
      </c>
      <c r="N214" s="5">
        <v>138419.43</v>
      </c>
    </row>
    <row r="215" spans="1:14">
      <c r="A215" s="5" t="s">
        <v>75</v>
      </c>
      <c r="B215" s="6">
        <v>45689</v>
      </c>
      <c r="C215" s="5" t="s">
        <v>27</v>
      </c>
      <c r="D215" s="5" t="s">
        <v>16</v>
      </c>
      <c r="E215" s="5">
        <v>41819.449999999997</v>
      </c>
      <c r="F215" s="5">
        <v>9412</v>
      </c>
      <c r="G215" s="5">
        <v>0.15</v>
      </c>
      <c r="H215" s="5">
        <v>22</v>
      </c>
      <c r="I215" s="5">
        <v>91</v>
      </c>
      <c r="J215" s="5">
        <v>3.67</v>
      </c>
      <c r="K215" s="5">
        <v>0</v>
      </c>
      <c r="L215" s="5">
        <v>4.2</v>
      </c>
      <c r="M215" s="5">
        <v>804975.5</v>
      </c>
      <c r="N215" s="5">
        <v>140054.5</v>
      </c>
    </row>
    <row r="216" spans="1:14">
      <c r="A216" s="5" t="s">
        <v>75</v>
      </c>
      <c r="B216" s="6">
        <v>45717</v>
      </c>
      <c r="C216" s="5" t="s">
        <v>27</v>
      </c>
      <c r="D216" s="5" t="s">
        <v>16</v>
      </c>
      <c r="E216" s="5">
        <v>35296.54</v>
      </c>
      <c r="F216" s="5">
        <v>9644</v>
      </c>
      <c r="G216" s="5">
        <v>0</v>
      </c>
      <c r="H216" s="5">
        <v>22</v>
      </c>
      <c r="I216" s="5">
        <v>88</v>
      </c>
      <c r="J216" s="5">
        <v>2.81</v>
      </c>
      <c r="K216" s="5">
        <v>0</v>
      </c>
      <c r="L216" s="5">
        <v>4.7</v>
      </c>
      <c r="M216" s="5">
        <v>752321.72</v>
      </c>
      <c r="N216" s="5">
        <v>137788.51</v>
      </c>
    </row>
    <row r="217" spans="1:14">
      <c r="A217" s="5" t="s">
        <v>75</v>
      </c>
      <c r="B217" s="6">
        <v>45748</v>
      </c>
      <c r="C217" s="5" t="s">
        <v>27</v>
      </c>
      <c r="D217" s="5" t="s">
        <v>16</v>
      </c>
      <c r="E217" s="5">
        <v>47391.09</v>
      </c>
      <c r="F217" s="5">
        <v>11224</v>
      </c>
      <c r="G217" s="5">
        <v>0.14699999999999999</v>
      </c>
      <c r="H217" s="5">
        <v>25</v>
      </c>
      <c r="I217" s="5">
        <v>88.4</v>
      </c>
      <c r="J217" s="5">
        <v>2.44</v>
      </c>
      <c r="K217" s="5">
        <v>0</v>
      </c>
      <c r="L217" s="5">
        <v>4.9000000000000004</v>
      </c>
      <c r="M217" s="5">
        <v>836908.24</v>
      </c>
      <c r="N217" s="5">
        <v>141090.26</v>
      </c>
    </row>
    <row r="218" spans="1:14">
      <c r="A218" s="5" t="s">
        <v>76</v>
      </c>
      <c r="B218" s="6">
        <v>45658</v>
      </c>
      <c r="C218" s="5" t="s">
        <v>20</v>
      </c>
      <c r="D218" s="5" t="s">
        <v>21</v>
      </c>
      <c r="E218" s="5">
        <v>69180.539999999994</v>
      </c>
      <c r="F218" s="5">
        <v>5394</v>
      </c>
      <c r="G218" s="5">
        <v>0.126</v>
      </c>
      <c r="H218" s="5">
        <v>12</v>
      </c>
      <c r="I218" s="5">
        <v>82.9</v>
      </c>
      <c r="J218" s="5">
        <v>3.27</v>
      </c>
      <c r="K218" s="5">
        <v>0</v>
      </c>
      <c r="L218" s="5">
        <v>3.3</v>
      </c>
      <c r="M218" s="5">
        <v>674289.1</v>
      </c>
      <c r="N218" s="5">
        <v>117773.79</v>
      </c>
    </row>
    <row r="219" spans="1:14">
      <c r="A219" s="5" t="s">
        <v>76</v>
      </c>
      <c r="B219" s="6">
        <v>45689</v>
      </c>
      <c r="C219" s="5" t="s">
        <v>20</v>
      </c>
      <c r="D219" s="5" t="s">
        <v>21</v>
      </c>
      <c r="E219" s="5">
        <v>33987.33</v>
      </c>
      <c r="F219" s="5">
        <v>5014</v>
      </c>
      <c r="G219" s="5">
        <v>0.246</v>
      </c>
      <c r="H219" s="5">
        <v>17</v>
      </c>
      <c r="I219" s="5">
        <v>94.3</v>
      </c>
      <c r="J219" s="5">
        <v>10.34</v>
      </c>
      <c r="K219" s="5">
        <v>0</v>
      </c>
      <c r="L219" s="5">
        <v>3.9</v>
      </c>
      <c r="M219" s="5">
        <v>622892.42000000004</v>
      </c>
      <c r="N219" s="5">
        <v>101032.52</v>
      </c>
    </row>
    <row r="220" spans="1:14">
      <c r="A220" s="5" t="s">
        <v>76</v>
      </c>
      <c r="B220" s="6">
        <v>45717</v>
      </c>
      <c r="C220" s="5" t="s">
        <v>20</v>
      </c>
      <c r="D220" s="5" t="s">
        <v>21</v>
      </c>
      <c r="E220" s="5">
        <v>58785.33</v>
      </c>
      <c r="F220" s="5">
        <v>4467</v>
      </c>
      <c r="G220" s="5">
        <v>0.22900000000000001</v>
      </c>
      <c r="H220" s="5">
        <v>14</v>
      </c>
      <c r="I220" s="5">
        <v>90.7</v>
      </c>
      <c r="J220" s="5">
        <v>1.92</v>
      </c>
      <c r="K220" s="5">
        <v>0</v>
      </c>
      <c r="L220" s="5">
        <v>3.7</v>
      </c>
      <c r="M220" s="5">
        <v>673348.56</v>
      </c>
      <c r="N220" s="5">
        <v>69464.59</v>
      </c>
    </row>
    <row r="221" spans="1:14">
      <c r="A221" s="5" t="s">
        <v>76</v>
      </c>
      <c r="B221" s="6">
        <v>45748</v>
      </c>
      <c r="C221" s="5" t="s">
        <v>20</v>
      </c>
      <c r="D221" s="5" t="s">
        <v>21</v>
      </c>
      <c r="E221" s="5">
        <v>16451.849999999999</v>
      </c>
      <c r="F221" s="5">
        <v>4678</v>
      </c>
      <c r="G221" s="5">
        <v>0.13300000000000001</v>
      </c>
      <c r="H221" s="5">
        <v>11</v>
      </c>
      <c r="I221" s="5">
        <v>95.9</v>
      </c>
      <c r="J221" s="5">
        <v>3.1</v>
      </c>
      <c r="K221" s="5">
        <v>0</v>
      </c>
      <c r="L221" s="5">
        <v>3.9</v>
      </c>
      <c r="M221" s="5">
        <v>606278.30000000005</v>
      </c>
      <c r="N221" s="5">
        <v>102213.26</v>
      </c>
    </row>
    <row r="222" spans="1:14">
      <c r="A222" s="5" t="s">
        <v>77</v>
      </c>
      <c r="B222" s="6">
        <v>45658</v>
      </c>
      <c r="C222" s="5" t="s">
        <v>15</v>
      </c>
      <c r="D222" s="5" t="s">
        <v>18</v>
      </c>
      <c r="E222" s="5">
        <v>53367.73</v>
      </c>
      <c r="F222" s="5">
        <v>7291</v>
      </c>
      <c r="G222" s="5">
        <v>0.14599999999999999</v>
      </c>
      <c r="H222" s="5">
        <v>18</v>
      </c>
      <c r="I222" s="5">
        <v>90.6</v>
      </c>
      <c r="J222" s="5">
        <v>6.34</v>
      </c>
      <c r="K222" s="5">
        <v>1</v>
      </c>
      <c r="L222" s="5">
        <v>3.8</v>
      </c>
      <c r="M222" s="5">
        <v>712219.81</v>
      </c>
      <c r="N222" s="5">
        <v>85906.54</v>
      </c>
    </row>
    <row r="223" spans="1:14">
      <c r="A223" s="5" t="s">
        <v>77</v>
      </c>
      <c r="B223" s="6">
        <v>45689</v>
      </c>
      <c r="C223" s="5" t="s">
        <v>15</v>
      </c>
      <c r="D223" s="5" t="s">
        <v>18</v>
      </c>
      <c r="E223" s="5">
        <v>27194.639999999999</v>
      </c>
      <c r="F223" s="5">
        <v>7404</v>
      </c>
      <c r="G223" s="5">
        <v>8.7999999999999995E-2</v>
      </c>
      <c r="H223" s="5">
        <v>18</v>
      </c>
      <c r="I223" s="5">
        <v>90.2</v>
      </c>
      <c r="J223" s="5">
        <v>1.2</v>
      </c>
      <c r="K223" s="5">
        <v>0</v>
      </c>
      <c r="L223" s="5">
        <v>3.4</v>
      </c>
      <c r="M223" s="5">
        <v>672670.54</v>
      </c>
      <c r="N223" s="5">
        <v>132684.18</v>
      </c>
    </row>
    <row r="224" spans="1:14">
      <c r="A224" s="5" t="s">
        <v>77</v>
      </c>
      <c r="B224" s="6">
        <v>45717</v>
      </c>
      <c r="C224" s="5" t="s">
        <v>15</v>
      </c>
      <c r="D224" s="5" t="s">
        <v>18</v>
      </c>
      <c r="E224" s="5">
        <v>66962.740000000005</v>
      </c>
      <c r="F224" s="5">
        <v>7880</v>
      </c>
      <c r="G224" s="5">
        <v>0.11600000000000001</v>
      </c>
      <c r="H224" s="5">
        <v>19</v>
      </c>
      <c r="I224" s="5">
        <v>90.4</v>
      </c>
      <c r="J224" s="5">
        <v>4.5</v>
      </c>
      <c r="K224" s="5">
        <v>0</v>
      </c>
      <c r="L224" s="5">
        <v>3.3</v>
      </c>
      <c r="M224" s="5">
        <v>732667.92</v>
      </c>
      <c r="N224" s="5">
        <v>128654.46</v>
      </c>
    </row>
    <row r="225" spans="1:14">
      <c r="A225" s="5" t="s">
        <v>77</v>
      </c>
      <c r="B225" s="6">
        <v>45748</v>
      </c>
      <c r="C225" s="5" t="s">
        <v>15</v>
      </c>
      <c r="D225" s="5" t="s">
        <v>18</v>
      </c>
      <c r="E225" s="5">
        <v>73540.990000000005</v>
      </c>
      <c r="F225" s="5">
        <v>8773</v>
      </c>
      <c r="G225" s="5">
        <v>3.5000000000000003E-2</v>
      </c>
      <c r="H225" s="5">
        <v>21</v>
      </c>
      <c r="I225" s="5">
        <v>84.4</v>
      </c>
      <c r="J225" s="5">
        <v>6.68</v>
      </c>
      <c r="K225" s="5">
        <v>0</v>
      </c>
      <c r="L225" s="5">
        <v>3.6</v>
      </c>
      <c r="M225" s="5">
        <v>723531.4</v>
      </c>
      <c r="N225" s="5">
        <v>108794.85</v>
      </c>
    </row>
    <row r="226" spans="1:14">
      <c r="A226" s="5" t="s">
        <v>78</v>
      </c>
      <c r="B226" s="6">
        <v>45658</v>
      </c>
      <c r="C226" s="5" t="s">
        <v>15</v>
      </c>
      <c r="D226" s="5" t="s">
        <v>28</v>
      </c>
      <c r="E226" s="5">
        <v>68212.289999999994</v>
      </c>
      <c r="F226" s="5">
        <v>4713</v>
      </c>
      <c r="G226" s="5">
        <v>0.19800000000000001</v>
      </c>
      <c r="H226" s="5">
        <v>15</v>
      </c>
      <c r="I226" s="5">
        <v>82.6</v>
      </c>
      <c r="J226" s="5">
        <v>4.07</v>
      </c>
      <c r="K226" s="5">
        <v>1</v>
      </c>
      <c r="L226" s="5">
        <v>3</v>
      </c>
      <c r="M226" s="5">
        <v>641564.6</v>
      </c>
      <c r="N226" s="5">
        <v>90468.96</v>
      </c>
    </row>
    <row r="227" spans="1:14">
      <c r="A227" s="5" t="s">
        <v>78</v>
      </c>
      <c r="B227" s="6">
        <v>45689</v>
      </c>
      <c r="C227" s="5" t="s">
        <v>15</v>
      </c>
      <c r="D227" s="5" t="s">
        <v>28</v>
      </c>
      <c r="E227" s="5">
        <v>57225.98</v>
      </c>
      <c r="F227" s="5">
        <v>2842</v>
      </c>
      <c r="G227" s="5">
        <v>0.112</v>
      </c>
      <c r="H227" s="5">
        <v>10</v>
      </c>
      <c r="I227" s="5">
        <v>79.5</v>
      </c>
      <c r="J227" s="5">
        <v>5.45</v>
      </c>
      <c r="K227" s="5">
        <v>0</v>
      </c>
      <c r="L227" s="5">
        <v>3.4</v>
      </c>
      <c r="M227" s="5">
        <v>536545.49</v>
      </c>
      <c r="N227" s="5">
        <v>97917.45</v>
      </c>
    </row>
    <row r="228" spans="1:14">
      <c r="A228" s="5" t="s">
        <v>78</v>
      </c>
      <c r="B228" s="6">
        <v>45717</v>
      </c>
      <c r="C228" s="5" t="s">
        <v>15</v>
      </c>
      <c r="D228" s="5" t="s">
        <v>28</v>
      </c>
      <c r="E228" s="5">
        <v>42932.02</v>
      </c>
      <c r="F228" s="5">
        <v>3872</v>
      </c>
      <c r="G228" s="5">
        <v>0.17100000000000001</v>
      </c>
      <c r="H228" s="5">
        <v>12</v>
      </c>
      <c r="I228" s="5">
        <v>83.2</v>
      </c>
      <c r="J228" s="5">
        <v>15.58</v>
      </c>
      <c r="K228" s="5">
        <v>0</v>
      </c>
      <c r="L228" s="5">
        <v>3.3</v>
      </c>
      <c r="M228" s="5">
        <v>527681.56000000006</v>
      </c>
      <c r="N228" s="5">
        <v>63153.05</v>
      </c>
    </row>
    <row r="229" spans="1:14">
      <c r="A229" s="5" t="s">
        <v>78</v>
      </c>
      <c r="B229" s="6">
        <v>45748</v>
      </c>
      <c r="C229" s="5" t="s">
        <v>15</v>
      </c>
      <c r="D229" s="5" t="s">
        <v>28</v>
      </c>
      <c r="E229" s="5">
        <v>39341.449999999997</v>
      </c>
      <c r="F229" s="5">
        <v>1375</v>
      </c>
      <c r="G229" s="5">
        <v>9.2999999999999999E-2</v>
      </c>
      <c r="H229" s="5">
        <v>5</v>
      </c>
      <c r="I229" s="5">
        <v>95</v>
      </c>
      <c r="J229" s="5">
        <v>5.32</v>
      </c>
      <c r="K229" s="5">
        <v>0</v>
      </c>
      <c r="L229" s="5"/>
      <c r="M229" s="5">
        <v>529598.93999999994</v>
      </c>
      <c r="N229" s="5">
        <v>84334.33</v>
      </c>
    </row>
    <row r="230" spans="1:14">
      <c r="A230" s="5" t="s">
        <v>79</v>
      </c>
      <c r="B230" s="6">
        <v>45658</v>
      </c>
      <c r="C230" s="5" t="s">
        <v>15</v>
      </c>
      <c r="D230" s="5" t="s">
        <v>18</v>
      </c>
      <c r="E230" s="5">
        <v>37324.230000000003</v>
      </c>
      <c r="F230" s="5">
        <v>5957</v>
      </c>
      <c r="G230" s="5">
        <v>7.0999999999999994E-2</v>
      </c>
      <c r="H230" s="5">
        <v>12</v>
      </c>
      <c r="I230" s="5">
        <v>85.9</v>
      </c>
      <c r="J230" s="5">
        <v>0.37</v>
      </c>
      <c r="K230" s="5">
        <v>0</v>
      </c>
      <c r="L230" s="5">
        <v>3.8</v>
      </c>
      <c r="M230" s="5">
        <v>570963.31000000006</v>
      </c>
      <c r="N230" s="5">
        <v>87342.25</v>
      </c>
    </row>
    <row r="231" spans="1:14">
      <c r="A231" s="5" t="s">
        <v>79</v>
      </c>
      <c r="B231" s="6">
        <v>45689</v>
      </c>
      <c r="C231" s="5" t="s">
        <v>15</v>
      </c>
      <c r="D231" s="5" t="s">
        <v>18</v>
      </c>
      <c r="E231" s="5">
        <v>113736</v>
      </c>
      <c r="F231" s="5">
        <v>8961</v>
      </c>
      <c r="G231" s="5">
        <v>0.20200000000000001</v>
      </c>
      <c r="H231" s="5">
        <v>24</v>
      </c>
      <c r="I231" s="5">
        <v>86.2</v>
      </c>
      <c r="J231" s="5">
        <v>21.63</v>
      </c>
      <c r="K231" s="5">
        <v>0</v>
      </c>
      <c r="L231" s="5">
        <v>4</v>
      </c>
      <c r="M231" s="5">
        <v>870937.4</v>
      </c>
      <c r="N231" s="5">
        <v>175282.74</v>
      </c>
    </row>
    <row r="232" spans="1:14">
      <c r="A232" s="5" t="s">
        <v>79</v>
      </c>
      <c r="B232" s="6">
        <v>45717</v>
      </c>
      <c r="C232" s="5" t="s">
        <v>15</v>
      </c>
      <c r="D232" s="5" t="s">
        <v>18</v>
      </c>
      <c r="E232" s="5">
        <v>33173.949999999997</v>
      </c>
      <c r="F232" s="5">
        <v>6545</v>
      </c>
      <c r="G232" s="5">
        <v>0.16900000000000001</v>
      </c>
      <c r="H232" s="5">
        <v>15</v>
      </c>
      <c r="I232" s="5">
        <v>84.4</v>
      </c>
      <c r="J232" s="5">
        <v>2.48</v>
      </c>
      <c r="K232" s="5">
        <v>0</v>
      </c>
      <c r="L232" s="5">
        <v>3.9</v>
      </c>
      <c r="M232" s="5">
        <v>596969.27</v>
      </c>
      <c r="N232" s="5">
        <v>105669.51</v>
      </c>
    </row>
    <row r="233" spans="1:14">
      <c r="A233" s="5" t="s">
        <v>79</v>
      </c>
      <c r="B233" s="6">
        <v>45748</v>
      </c>
      <c r="C233" s="5" t="s">
        <v>15</v>
      </c>
      <c r="D233" s="5" t="s">
        <v>18</v>
      </c>
      <c r="E233" s="5">
        <v>25818.080000000002</v>
      </c>
      <c r="F233" s="5">
        <v>5457</v>
      </c>
      <c r="G233" s="5">
        <v>0</v>
      </c>
      <c r="H233" s="5">
        <v>11</v>
      </c>
      <c r="I233" s="5">
        <v>95.4</v>
      </c>
      <c r="J233" s="5"/>
      <c r="K233" s="5">
        <v>0</v>
      </c>
      <c r="L233" s="5">
        <v>3.7</v>
      </c>
      <c r="M233" s="5">
        <v>647512.85</v>
      </c>
      <c r="N233" s="5">
        <v>153835.57</v>
      </c>
    </row>
    <row r="234" spans="1:14">
      <c r="A234" s="5" t="s">
        <v>80</v>
      </c>
      <c r="B234" s="6">
        <v>45658</v>
      </c>
      <c r="C234" s="5" t="s">
        <v>27</v>
      </c>
      <c r="D234" s="5" t="s">
        <v>16</v>
      </c>
      <c r="E234" s="5">
        <v>47241.919999999998</v>
      </c>
      <c r="F234" s="5">
        <v>4264</v>
      </c>
      <c r="G234" s="5">
        <v>6.9000000000000006E-2</v>
      </c>
      <c r="H234" s="5">
        <v>13</v>
      </c>
      <c r="I234" s="5">
        <v>95.3</v>
      </c>
      <c r="J234" s="5">
        <v>0.85</v>
      </c>
      <c r="K234" s="5">
        <v>0</v>
      </c>
      <c r="L234" s="5">
        <v>4.3</v>
      </c>
      <c r="M234" s="5">
        <v>658072.14</v>
      </c>
      <c r="N234" s="5">
        <v>110595.89</v>
      </c>
    </row>
    <row r="235" spans="1:14">
      <c r="A235" s="5" t="s">
        <v>80</v>
      </c>
      <c r="B235" s="6">
        <v>45689</v>
      </c>
      <c r="C235" s="5" t="s">
        <v>27</v>
      </c>
      <c r="D235" s="5" t="s">
        <v>16</v>
      </c>
      <c r="E235" s="5">
        <v>61650.79</v>
      </c>
      <c r="F235" s="5">
        <v>5321</v>
      </c>
      <c r="G235" s="5">
        <v>0.126</v>
      </c>
      <c r="H235" s="5">
        <v>17</v>
      </c>
      <c r="I235" s="5">
        <v>89.2</v>
      </c>
      <c r="J235" s="5">
        <v>2.13</v>
      </c>
      <c r="K235" s="5">
        <v>0</v>
      </c>
      <c r="L235" s="5">
        <v>4</v>
      </c>
      <c r="M235" s="5">
        <v>723305.11</v>
      </c>
      <c r="N235" s="5">
        <v>128468.7</v>
      </c>
    </row>
    <row r="236" spans="1:14">
      <c r="A236" s="5" t="s">
        <v>80</v>
      </c>
      <c r="B236" s="6">
        <v>45717</v>
      </c>
      <c r="C236" s="5" t="s">
        <v>27</v>
      </c>
      <c r="D236" s="5" t="s">
        <v>16</v>
      </c>
      <c r="E236" s="5">
        <v>62582.71</v>
      </c>
      <c r="F236" s="5">
        <v>5479</v>
      </c>
      <c r="G236" s="5">
        <v>4.8000000000000001E-2</v>
      </c>
      <c r="H236" s="5">
        <v>16</v>
      </c>
      <c r="I236" s="5">
        <v>81.2</v>
      </c>
      <c r="J236" s="5">
        <v>1.46</v>
      </c>
      <c r="K236" s="5">
        <v>0</v>
      </c>
      <c r="L236" s="5">
        <v>4.5</v>
      </c>
      <c r="M236" s="5">
        <v>640666.53</v>
      </c>
      <c r="N236" s="5">
        <v>134919.16</v>
      </c>
    </row>
    <row r="237" spans="1:14">
      <c r="A237" s="5" t="s">
        <v>80</v>
      </c>
      <c r="B237" s="6">
        <v>45748</v>
      </c>
      <c r="C237" s="5" t="s">
        <v>27</v>
      </c>
      <c r="D237" s="5" t="s">
        <v>16</v>
      </c>
      <c r="E237" s="5">
        <v>47944.14</v>
      </c>
      <c r="F237" s="5">
        <v>6169</v>
      </c>
      <c r="G237" s="5">
        <v>0.11899999999999999</v>
      </c>
      <c r="H237" s="5">
        <v>17</v>
      </c>
      <c r="I237" s="5">
        <v>92.2</v>
      </c>
      <c r="J237" s="5">
        <v>3.02</v>
      </c>
      <c r="K237" s="5">
        <v>0</v>
      </c>
      <c r="L237" s="5">
        <v>4.0999999999999996</v>
      </c>
      <c r="M237" s="5">
        <v>670629.48</v>
      </c>
      <c r="N237" s="5">
        <v>100140.8</v>
      </c>
    </row>
    <row r="238" spans="1:14">
      <c r="A238" s="5" t="s">
        <v>81</v>
      </c>
      <c r="B238" s="6">
        <v>45658</v>
      </c>
      <c r="C238" s="5" t="s">
        <v>27</v>
      </c>
      <c r="D238" s="5" t="s">
        <v>28</v>
      </c>
      <c r="E238" s="5">
        <v>46495.4</v>
      </c>
      <c r="F238" s="5">
        <v>9908</v>
      </c>
      <c r="G238" s="5">
        <v>0.121</v>
      </c>
      <c r="H238" s="5">
        <v>22</v>
      </c>
      <c r="I238" s="5">
        <v>89.4</v>
      </c>
      <c r="J238" s="5">
        <v>3.22</v>
      </c>
      <c r="K238" s="5">
        <v>0</v>
      </c>
      <c r="L238" s="5">
        <v>3.7</v>
      </c>
      <c r="M238" s="5">
        <v>721079.35</v>
      </c>
      <c r="N238" s="5">
        <v>115295.05</v>
      </c>
    </row>
    <row r="239" spans="1:14">
      <c r="A239" s="5" t="s">
        <v>81</v>
      </c>
      <c r="B239" s="6">
        <v>45689</v>
      </c>
      <c r="C239" s="5" t="s">
        <v>27</v>
      </c>
      <c r="D239" s="5" t="s">
        <v>28</v>
      </c>
      <c r="E239" s="5">
        <v>72961.95</v>
      </c>
      <c r="F239" s="5">
        <v>9996</v>
      </c>
      <c r="G239" s="5">
        <v>0.106</v>
      </c>
      <c r="H239" s="5">
        <v>22</v>
      </c>
      <c r="I239" s="5">
        <v>89.1</v>
      </c>
      <c r="J239" s="5">
        <v>15.66</v>
      </c>
      <c r="K239" s="5">
        <v>0</v>
      </c>
      <c r="L239" s="5">
        <v>3.4</v>
      </c>
      <c r="M239" s="5">
        <v>810355.02</v>
      </c>
      <c r="N239" s="5">
        <v>131510</v>
      </c>
    </row>
    <row r="240" spans="1:14">
      <c r="A240" s="5" t="s">
        <v>81</v>
      </c>
      <c r="B240" s="6">
        <v>45717</v>
      </c>
      <c r="C240" s="5" t="s">
        <v>27</v>
      </c>
      <c r="D240" s="5" t="s">
        <v>28</v>
      </c>
      <c r="E240" s="5">
        <v>59060.05</v>
      </c>
      <c r="F240" s="5">
        <v>9702</v>
      </c>
      <c r="G240" s="5">
        <v>0.20100000000000001</v>
      </c>
      <c r="H240" s="5">
        <v>23</v>
      </c>
      <c r="I240" s="5">
        <v>80.900000000000006</v>
      </c>
      <c r="J240" s="5">
        <v>6.96</v>
      </c>
      <c r="K240" s="5">
        <v>0</v>
      </c>
      <c r="L240" s="5">
        <v>3.2</v>
      </c>
      <c r="M240" s="5">
        <v>761919.25</v>
      </c>
      <c r="N240" s="5">
        <v>111893.06</v>
      </c>
    </row>
    <row r="241" spans="1:14">
      <c r="A241" s="5" t="s">
        <v>81</v>
      </c>
      <c r="B241" s="6">
        <v>45748</v>
      </c>
      <c r="C241" s="5" t="s">
        <v>27</v>
      </c>
      <c r="D241" s="5" t="s">
        <v>28</v>
      </c>
      <c r="E241" s="5">
        <v>26248.1</v>
      </c>
      <c r="F241" s="5">
        <v>9314</v>
      </c>
      <c r="G241" s="5">
        <v>0.186</v>
      </c>
      <c r="H241" s="5">
        <v>21</v>
      </c>
      <c r="I241" s="5">
        <v>83.7</v>
      </c>
      <c r="J241" s="5">
        <v>4.62</v>
      </c>
      <c r="K241" s="5">
        <v>0</v>
      </c>
      <c r="L241" s="5">
        <v>3.3</v>
      </c>
      <c r="M241" s="5">
        <v>737070.18</v>
      </c>
      <c r="N241" s="5">
        <v>117593.97</v>
      </c>
    </row>
    <row r="242" spans="1:14">
      <c r="A242" s="5" t="s">
        <v>82</v>
      </c>
      <c r="B242" s="6">
        <v>45658</v>
      </c>
      <c r="C242" s="5" t="s">
        <v>24</v>
      </c>
      <c r="D242" s="5" t="s">
        <v>21</v>
      </c>
      <c r="E242" s="5">
        <v>69900.12</v>
      </c>
      <c r="F242" s="5">
        <v>8055</v>
      </c>
      <c r="G242" s="5">
        <v>0.28100000000000003</v>
      </c>
      <c r="H242" s="5">
        <v>22</v>
      </c>
      <c r="I242" s="5">
        <v>85.6</v>
      </c>
      <c r="J242" s="5">
        <v>10.68</v>
      </c>
      <c r="K242" s="5">
        <v>1</v>
      </c>
      <c r="L242" s="5">
        <v>2.9</v>
      </c>
      <c r="M242" s="5">
        <v>776992.93</v>
      </c>
      <c r="N242" s="5">
        <v>101598.32</v>
      </c>
    </row>
    <row r="243" spans="1:14">
      <c r="A243" s="5" t="s">
        <v>82</v>
      </c>
      <c r="B243" s="6">
        <v>45689</v>
      </c>
      <c r="C243" s="5" t="s">
        <v>24</v>
      </c>
      <c r="D243" s="5" t="s">
        <v>21</v>
      </c>
      <c r="E243" s="5">
        <v>51781.599999999999</v>
      </c>
      <c r="F243" s="5">
        <v>5648</v>
      </c>
      <c r="G243" s="5">
        <v>5.8999999999999997E-2</v>
      </c>
      <c r="H243" s="5">
        <v>13</v>
      </c>
      <c r="I243" s="5">
        <v>85.5</v>
      </c>
      <c r="J243" s="5">
        <v>4.04</v>
      </c>
      <c r="K243" s="5">
        <v>0</v>
      </c>
      <c r="L243" s="5">
        <v>3.7</v>
      </c>
      <c r="M243" s="5">
        <v>676337.41</v>
      </c>
      <c r="N243" s="5">
        <v>104355.77</v>
      </c>
    </row>
    <row r="244" spans="1:14">
      <c r="A244" s="5" t="s">
        <v>82</v>
      </c>
      <c r="B244" s="6">
        <v>45717</v>
      </c>
      <c r="C244" s="5" t="s">
        <v>24</v>
      </c>
      <c r="D244" s="5" t="s">
        <v>21</v>
      </c>
      <c r="E244" s="5">
        <v>70799.64</v>
      </c>
      <c r="F244" s="5">
        <v>10076</v>
      </c>
      <c r="G244" s="5">
        <v>0.152</v>
      </c>
      <c r="H244" s="5">
        <v>24</v>
      </c>
      <c r="I244" s="5">
        <v>84.8</v>
      </c>
      <c r="J244" s="5">
        <v>1.87</v>
      </c>
      <c r="K244" s="5">
        <v>0</v>
      </c>
      <c r="L244" s="5">
        <v>3.5</v>
      </c>
      <c r="M244" s="5">
        <v>828219.67</v>
      </c>
      <c r="N244" s="5">
        <v>179806.87</v>
      </c>
    </row>
    <row r="245" spans="1:14">
      <c r="A245" s="5" t="s">
        <v>82</v>
      </c>
      <c r="B245" s="6">
        <v>45748</v>
      </c>
      <c r="C245" s="5" t="s">
        <v>24</v>
      </c>
      <c r="D245" s="5" t="s">
        <v>21</v>
      </c>
      <c r="E245" s="5">
        <v>53546.34</v>
      </c>
      <c r="F245" s="5">
        <v>8004</v>
      </c>
      <c r="G245" s="5">
        <v>0</v>
      </c>
      <c r="H245" s="5">
        <v>21</v>
      </c>
      <c r="I245" s="5">
        <v>95.2</v>
      </c>
      <c r="J245" s="5">
        <v>2.83</v>
      </c>
      <c r="K245" s="5">
        <v>0</v>
      </c>
      <c r="L245" s="5">
        <v>3</v>
      </c>
      <c r="M245" s="5">
        <v>763159.92</v>
      </c>
      <c r="N245" s="5">
        <v>177104.87</v>
      </c>
    </row>
    <row r="246" spans="1:14">
      <c r="A246" s="5" t="s">
        <v>83</v>
      </c>
      <c r="B246" s="6">
        <v>45658</v>
      </c>
      <c r="C246" s="5" t="s">
        <v>15</v>
      </c>
      <c r="D246" s="5" t="s">
        <v>18</v>
      </c>
      <c r="E246" s="5">
        <v>76942.2</v>
      </c>
      <c r="F246" s="5">
        <v>8934</v>
      </c>
      <c r="G246" s="5">
        <v>8.4000000000000005E-2</v>
      </c>
      <c r="H246" s="5">
        <v>20</v>
      </c>
      <c r="I246" s="5">
        <v>91</v>
      </c>
      <c r="J246" s="5">
        <v>0.95</v>
      </c>
      <c r="K246" s="5">
        <v>0</v>
      </c>
      <c r="L246" s="5">
        <v>3.2</v>
      </c>
      <c r="M246" s="5">
        <v>802001.68</v>
      </c>
      <c r="N246" s="5">
        <v>159715.82</v>
      </c>
    </row>
    <row r="247" spans="1:14">
      <c r="A247" s="5" t="s">
        <v>83</v>
      </c>
      <c r="B247" s="6">
        <v>45689</v>
      </c>
      <c r="C247" s="5" t="s">
        <v>15</v>
      </c>
      <c r="D247" s="5" t="s">
        <v>18</v>
      </c>
      <c r="E247" s="5">
        <v>48060.78</v>
      </c>
      <c r="F247" s="5">
        <v>8733</v>
      </c>
      <c r="G247" s="5">
        <v>0</v>
      </c>
      <c r="H247" s="5">
        <v>20</v>
      </c>
      <c r="I247" s="5">
        <v>89.9</v>
      </c>
      <c r="J247" s="5">
        <v>0.8</v>
      </c>
      <c r="K247" s="5">
        <v>0</v>
      </c>
      <c r="L247" s="5">
        <v>3.4</v>
      </c>
      <c r="M247" s="5">
        <v>750471.34</v>
      </c>
      <c r="N247" s="5">
        <v>133788.04</v>
      </c>
    </row>
    <row r="248" spans="1:14">
      <c r="A248" s="5" t="s">
        <v>83</v>
      </c>
      <c r="B248" s="6">
        <v>45717</v>
      </c>
      <c r="C248" s="5" t="s">
        <v>15</v>
      </c>
      <c r="D248" s="5" t="s">
        <v>18</v>
      </c>
      <c r="E248" s="5">
        <v>57390.04</v>
      </c>
      <c r="F248" s="5">
        <v>7374</v>
      </c>
      <c r="G248" s="5">
        <v>0.21</v>
      </c>
      <c r="H248" s="5">
        <v>21</v>
      </c>
      <c r="I248" s="5">
        <v>91.8</v>
      </c>
      <c r="J248" s="5">
        <v>0.2</v>
      </c>
      <c r="K248" s="5">
        <v>0</v>
      </c>
      <c r="L248" s="5">
        <v>3.1</v>
      </c>
      <c r="M248" s="5">
        <v>679230.86</v>
      </c>
      <c r="N248" s="5">
        <v>106927.58</v>
      </c>
    </row>
    <row r="249" spans="1:14">
      <c r="A249" s="5" t="s">
        <v>83</v>
      </c>
      <c r="B249" s="6">
        <v>45748</v>
      </c>
      <c r="C249" s="5" t="s">
        <v>15</v>
      </c>
      <c r="D249" s="5" t="s">
        <v>18</v>
      </c>
      <c r="E249" s="5">
        <v>21536.18</v>
      </c>
      <c r="F249" s="5">
        <v>8119</v>
      </c>
      <c r="G249" s="5">
        <v>0.22700000000000001</v>
      </c>
      <c r="H249" s="5">
        <v>20</v>
      </c>
      <c r="I249" s="5">
        <v>90.4</v>
      </c>
      <c r="J249" s="5">
        <v>1.7</v>
      </c>
      <c r="K249" s="5">
        <v>0</v>
      </c>
      <c r="L249" s="5">
        <v>3.3</v>
      </c>
      <c r="M249" s="5">
        <v>679888.74</v>
      </c>
      <c r="N249" s="5">
        <v>83406.89</v>
      </c>
    </row>
    <row r="250" spans="1:14">
      <c r="A250" s="5" t="s">
        <v>84</v>
      </c>
      <c r="B250" s="6">
        <v>45658</v>
      </c>
      <c r="C250" s="5" t="s">
        <v>20</v>
      </c>
      <c r="D250" s="5" t="s">
        <v>18</v>
      </c>
      <c r="E250" s="5">
        <v>40923.67</v>
      </c>
      <c r="F250" s="5">
        <v>3875</v>
      </c>
      <c r="G250" s="5">
        <v>0.15</v>
      </c>
      <c r="H250" s="5">
        <v>10</v>
      </c>
      <c r="I250" s="5">
        <v>96.1</v>
      </c>
      <c r="J250" s="5"/>
      <c r="K250" s="5">
        <v>0</v>
      </c>
      <c r="L250" s="5">
        <v>3.8</v>
      </c>
      <c r="M250" s="5">
        <v>606783.67000000004</v>
      </c>
      <c r="N250" s="5">
        <v>74515.87</v>
      </c>
    </row>
    <row r="251" spans="1:14">
      <c r="A251" s="5" t="s">
        <v>84</v>
      </c>
      <c r="B251" s="6">
        <v>45689</v>
      </c>
      <c r="C251" s="5" t="s">
        <v>20</v>
      </c>
      <c r="D251" s="5" t="s">
        <v>18</v>
      </c>
      <c r="E251" s="5">
        <v>72932.55</v>
      </c>
      <c r="F251" s="5">
        <v>5765</v>
      </c>
      <c r="G251" s="5">
        <v>2.5999999999999999E-2</v>
      </c>
      <c r="H251" s="5">
        <v>17</v>
      </c>
      <c r="I251" s="5">
        <v>81.8</v>
      </c>
      <c r="J251" s="5">
        <v>5.0999999999999996</v>
      </c>
      <c r="K251" s="5">
        <v>0</v>
      </c>
      <c r="L251" s="5">
        <v>3.6</v>
      </c>
      <c r="M251" s="5">
        <v>642751.42000000004</v>
      </c>
      <c r="N251" s="5">
        <v>131942.15</v>
      </c>
    </row>
    <row r="252" spans="1:14">
      <c r="A252" s="5" t="s">
        <v>84</v>
      </c>
      <c r="B252" s="6">
        <v>45717</v>
      </c>
      <c r="C252" s="5" t="s">
        <v>20</v>
      </c>
      <c r="D252" s="5" t="s">
        <v>18</v>
      </c>
      <c r="E252" s="5">
        <v>38361.93</v>
      </c>
      <c r="F252" s="5">
        <v>6322</v>
      </c>
      <c r="G252" s="5">
        <v>0.27300000000000002</v>
      </c>
      <c r="H252" s="5">
        <v>15</v>
      </c>
      <c r="I252" s="5">
        <v>88.4</v>
      </c>
      <c r="J252" s="5">
        <v>0.83</v>
      </c>
      <c r="K252" s="5">
        <v>0</v>
      </c>
      <c r="L252" s="5">
        <v>4</v>
      </c>
      <c r="M252" s="5">
        <v>647953.78</v>
      </c>
      <c r="N252" s="5">
        <v>118497.43</v>
      </c>
    </row>
    <row r="253" spans="1:14">
      <c r="A253" s="5" t="s">
        <v>84</v>
      </c>
      <c r="B253" s="6">
        <v>45748</v>
      </c>
      <c r="C253" s="5" t="s">
        <v>20</v>
      </c>
      <c r="D253" s="5" t="s">
        <v>18</v>
      </c>
      <c r="E253" s="5">
        <v>97480.94</v>
      </c>
      <c r="F253" s="5">
        <v>6840</v>
      </c>
      <c r="G253" s="5">
        <v>8.6999999999999994E-2</v>
      </c>
      <c r="H253" s="5">
        <v>14</v>
      </c>
      <c r="I253" s="5">
        <v>79.2</v>
      </c>
      <c r="J253" s="5">
        <v>1.1399999999999999</v>
      </c>
      <c r="K253" s="5">
        <v>0</v>
      </c>
      <c r="L253" s="5">
        <v>4</v>
      </c>
      <c r="M253" s="5">
        <v>729440.45</v>
      </c>
      <c r="N253" s="5">
        <v>87614.29</v>
      </c>
    </row>
    <row r="254" spans="1:14">
      <c r="A254" s="5" t="s">
        <v>85</v>
      </c>
      <c r="B254" s="6">
        <v>45658</v>
      </c>
      <c r="C254" s="5" t="s">
        <v>24</v>
      </c>
      <c r="D254" s="5" t="s">
        <v>21</v>
      </c>
      <c r="E254" s="5">
        <v>81801.8</v>
      </c>
      <c r="F254" s="5">
        <v>6782</v>
      </c>
      <c r="G254" s="5">
        <v>0.05</v>
      </c>
      <c r="H254" s="5">
        <v>16</v>
      </c>
      <c r="I254" s="5">
        <v>99</v>
      </c>
      <c r="J254" s="5">
        <v>9.5399999999999991</v>
      </c>
      <c r="K254" s="5">
        <v>0</v>
      </c>
      <c r="L254" s="5">
        <v>3.7</v>
      </c>
      <c r="M254" s="5">
        <v>764949</v>
      </c>
      <c r="N254" s="5">
        <v>148322.43</v>
      </c>
    </row>
    <row r="255" spans="1:14">
      <c r="A255" s="5" t="s">
        <v>85</v>
      </c>
      <c r="B255" s="6">
        <v>45689</v>
      </c>
      <c r="C255" s="5" t="s">
        <v>24</v>
      </c>
      <c r="D255" s="5" t="s">
        <v>21</v>
      </c>
      <c r="E255" s="5">
        <v>63582.11</v>
      </c>
      <c r="F255" s="5">
        <v>6856</v>
      </c>
      <c r="G255" s="5">
        <v>7.3999999999999996E-2</v>
      </c>
      <c r="H255" s="5">
        <v>17</v>
      </c>
      <c r="I255" s="5">
        <v>89.5</v>
      </c>
      <c r="J255" s="5">
        <v>5.48</v>
      </c>
      <c r="K255" s="5">
        <v>0</v>
      </c>
      <c r="L255" s="5">
        <v>3.2</v>
      </c>
      <c r="M255" s="5">
        <v>799046.94</v>
      </c>
      <c r="N255" s="5">
        <v>144553.64000000001</v>
      </c>
    </row>
    <row r="256" spans="1:14">
      <c r="A256" s="5" t="s">
        <v>85</v>
      </c>
      <c r="B256" s="6">
        <v>45717</v>
      </c>
      <c r="C256" s="5" t="s">
        <v>24</v>
      </c>
      <c r="D256" s="5" t="s">
        <v>21</v>
      </c>
      <c r="E256" s="5">
        <v>75412.740000000005</v>
      </c>
      <c r="F256" s="5">
        <v>5641</v>
      </c>
      <c r="G256" s="5">
        <v>5.8999999999999997E-2</v>
      </c>
      <c r="H256" s="5">
        <v>13</v>
      </c>
      <c r="I256" s="5">
        <v>87.9</v>
      </c>
      <c r="J256" s="5">
        <v>0.84</v>
      </c>
      <c r="K256" s="5">
        <v>0</v>
      </c>
      <c r="L256" s="5">
        <v>3.6</v>
      </c>
      <c r="M256" s="5">
        <v>720079.54</v>
      </c>
      <c r="N256" s="5">
        <v>119499.47</v>
      </c>
    </row>
    <row r="257" spans="1:14">
      <c r="A257" s="5" t="s">
        <v>85</v>
      </c>
      <c r="B257" s="6">
        <v>45748</v>
      </c>
      <c r="C257" s="5" t="s">
        <v>24</v>
      </c>
      <c r="D257" s="5" t="s">
        <v>21</v>
      </c>
      <c r="E257" s="5">
        <v>36290.080000000002</v>
      </c>
      <c r="F257" s="5">
        <v>5787</v>
      </c>
      <c r="G257" s="5">
        <v>0</v>
      </c>
      <c r="H257" s="5">
        <v>17</v>
      </c>
      <c r="I257" s="5">
        <v>88.3</v>
      </c>
      <c r="J257" s="5">
        <v>4.1900000000000004</v>
      </c>
      <c r="K257" s="5">
        <v>0</v>
      </c>
      <c r="L257" s="5">
        <v>4.0999999999999996</v>
      </c>
      <c r="M257" s="5">
        <v>612390.14</v>
      </c>
      <c r="N257" s="5">
        <v>108985.74</v>
      </c>
    </row>
    <row r="258" spans="1:14">
      <c r="A258" s="5" t="s">
        <v>86</v>
      </c>
      <c r="B258" s="6">
        <v>45658</v>
      </c>
      <c r="C258" s="5" t="s">
        <v>24</v>
      </c>
      <c r="D258" s="5" t="s">
        <v>28</v>
      </c>
      <c r="E258" s="5">
        <v>65272.58</v>
      </c>
      <c r="F258" s="5">
        <v>8165</v>
      </c>
      <c r="G258" s="5">
        <v>5.0999999999999997E-2</v>
      </c>
      <c r="H258" s="5">
        <v>19</v>
      </c>
      <c r="I258" s="5">
        <v>87.8</v>
      </c>
      <c r="J258" s="5">
        <v>1.26</v>
      </c>
      <c r="K258" s="5">
        <v>1</v>
      </c>
      <c r="L258" s="5">
        <v>4.3</v>
      </c>
      <c r="M258" s="5">
        <v>840108.12</v>
      </c>
      <c r="N258" s="5">
        <v>126587.01</v>
      </c>
    </row>
    <row r="259" spans="1:14">
      <c r="A259" s="5" t="s">
        <v>86</v>
      </c>
      <c r="B259" s="6">
        <v>45689</v>
      </c>
      <c r="C259" s="5" t="s">
        <v>24</v>
      </c>
      <c r="D259" s="5" t="s">
        <v>28</v>
      </c>
      <c r="E259" s="5">
        <v>28670.43</v>
      </c>
      <c r="F259" s="5">
        <v>7574</v>
      </c>
      <c r="G259" s="5">
        <v>0.114</v>
      </c>
      <c r="H259" s="5">
        <v>19</v>
      </c>
      <c r="I259" s="5">
        <v>82.7</v>
      </c>
      <c r="J259" s="5">
        <v>2.74</v>
      </c>
      <c r="K259" s="5">
        <v>0</v>
      </c>
      <c r="L259" s="5">
        <v>4.5999999999999996</v>
      </c>
      <c r="M259" s="5">
        <v>697888.09</v>
      </c>
      <c r="N259" s="5">
        <v>116249.87</v>
      </c>
    </row>
    <row r="260" spans="1:14">
      <c r="A260" s="5" t="s">
        <v>86</v>
      </c>
      <c r="B260" s="6">
        <v>45717</v>
      </c>
      <c r="C260" s="5" t="s">
        <v>24</v>
      </c>
      <c r="D260" s="5" t="s">
        <v>28</v>
      </c>
      <c r="E260" s="5">
        <v>44189.34</v>
      </c>
      <c r="F260" s="5">
        <v>8634</v>
      </c>
      <c r="G260" s="5">
        <v>0.14299999999999999</v>
      </c>
      <c r="H260" s="5">
        <v>19</v>
      </c>
      <c r="I260" s="5">
        <v>87.5</v>
      </c>
      <c r="J260" s="5">
        <v>3.69</v>
      </c>
      <c r="K260" s="5">
        <v>0</v>
      </c>
      <c r="L260" s="5">
        <v>4.4000000000000004</v>
      </c>
      <c r="M260" s="5">
        <v>746115.59</v>
      </c>
      <c r="N260" s="5">
        <v>94662.96</v>
      </c>
    </row>
    <row r="261" spans="1:14">
      <c r="A261" s="5" t="s">
        <v>86</v>
      </c>
      <c r="B261" s="6">
        <v>45748</v>
      </c>
      <c r="C261" s="5" t="s">
        <v>24</v>
      </c>
      <c r="D261" s="5" t="s">
        <v>28</v>
      </c>
      <c r="E261" s="5">
        <v>38397.82</v>
      </c>
      <c r="F261" s="5">
        <v>7836</v>
      </c>
      <c r="G261" s="5">
        <v>7.0000000000000001E-3</v>
      </c>
      <c r="H261" s="5">
        <v>21</v>
      </c>
      <c r="I261" s="5">
        <v>92.2</v>
      </c>
      <c r="J261" s="5">
        <v>1.82</v>
      </c>
      <c r="K261" s="5">
        <v>0</v>
      </c>
      <c r="L261" s="5">
        <v>3.6</v>
      </c>
      <c r="M261" s="5">
        <v>776110.32</v>
      </c>
      <c r="N261" s="5">
        <v>139676.21</v>
      </c>
    </row>
    <row r="262" spans="1:14">
      <c r="A262" s="5" t="s">
        <v>87</v>
      </c>
      <c r="B262" s="6">
        <v>45658</v>
      </c>
      <c r="C262" s="5" t="s">
        <v>27</v>
      </c>
      <c r="D262" s="5" t="s">
        <v>18</v>
      </c>
      <c r="E262" s="5">
        <v>14519.37</v>
      </c>
      <c r="F262" s="5">
        <v>3047</v>
      </c>
      <c r="G262" s="5">
        <v>0.13500000000000001</v>
      </c>
      <c r="H262" s="5">
        <v>10</v>
      </c>
      <c r="I262" s="5">
        <v>90.3</v>
      </c>
      <c r="J262" s="5">
        <v>6.62</v>
      </c>
      <c r="K262" s="5">
        <v>0</v>
      </c>
      <c r="L262" s="5">
        <v>4.2</v>
      </c>
      <c r="M262" s="5">
        <v>528852.62</v>
      </c>
      <c r="N262" s="5">
        <v>68426.210000000006</v>
      </c>
    </row>
    <row r="263" spans="1:14">
      <c r="A263" s="5" t="s">
        <v>87</v>
      </c>
      <c r="B263" s="6">
        <v>45689</v>
      </c>
      <c r="C263" s="5" t="s">
        <v>27</v>
      </c>
      <c r="D263" s="5" t="s">
        <v>18</v>
      </c>
      <c r="E263" s="5">
        <v>43288.2</v>
      </c>
      <c r="F263" s="5">
        <v>4783</v>
      </c>
      <c r="G263" s="5">
        <v>0.16900000000000001</v>
      </c>
      <c r="H263" s="5">
        <v>13</v>
      </c>
      <c r="I263" s="5">
        <v>87.3</v>
      </c>
      <c r="J263" s="5"/>
      <c r="K263" s="5">
        <v>0</v>
      </c>
      <c r="L263" s="5">
        <v>4.2</v>
      </c>
      <c r="M263" s="5">
        <v>605751.32999999996</v>
      </c>
      <c r="N263" s="5">
        <v>60685.53</v>
      </c>
    </row>
    <row r="264" spans="1:14">
      <c r="A264" s="5" t="s">
        <v>87</v>
      </c>
      <c r="B264" s="6">
        <v>45717</v>
      </c>
      <c r="C264" s="5" t="s">
        <v>27</v>
      </c>
      <c r="D264" s="5" t="s">
        <v>18</v>
      </c>
      <c r="E264" s="5">
        <v>51450.55</v>
      </c>
      <c r="F264" s="5">
        <v>4902</v>
      </c>
      <c r="G264" s="5">
        <v>8.5999999999999993E-2</v>
      </c>
      <c r="H264" s="5">
        <v>11</v>
      </c>
      <c r="I264" s="5">
        <v>83.7</v>
      </c>
      <c r="J264" s="5">
        <v>6.92</v>
      </c>
      <c r="K264" s="5">
        <v>1</v>
      </c>
      <c r="L264" s="5">
        <v>4.2</v>
      </c>
      <c r="M264" s="5">
        <v>677640.65</v>
      </c>
      <c r="N264" s="5">
        <v>111610.89</v>
      </c>
    </row>
    <row r="265" spans="1:14">
      <c r="A265" s="5" t="s">
        <v>87</v>
      </c>
      <c r="B265" s="6">
        <v>45748</v>
      </c>
      <c r="C265" s="5" t="s">
        <v>27</v>
      </c>
      <c r="D265" s="5" t="s">
        <v>18</v>
      </c>
      <c r="E265" s="5">
        <v>58688.26</v>
      </c>
      <c r="F265" s="5">
        <v>4022</v>
      </c>
      <c r="G265" s="5">
        <v>0.217</v>
      </c>
      <c r="H265" s="5">
        <v>12</v>
      </c>
      <c r="I265" s="5">
        <v>93.8</v>
      </c>
      <c r="J265" s="5">
        <v>11.78</v>
      </c>
      <c r="K265" s="5">
        <v>0</v>
      </c>
      <c r="L265" s="5">
        <v>3.7</v>
      </c>
      <c r="M265" s="5">
        <v>636613.23</v>
      </c>
      <c r="N265" s="5">
        <v>78908.350000000006</v>
      </c>
    </row>
    <row r="266" spans="1:14">
      <c r="A266" s="5" t="s">
        <v>88</v>
      </c>
      <c r="B266" s="6">
        <v>45658</v>
      </c>
      <c r="C266" s="5" t="s">
        <v>15</v>
      </c>
      <c r="D266" s="5" t="s">
        <v>18</v>
      </c>
      <c r="E266" s="5">
        <v>58981.91</v>
      </c>
      <c r="F266" s="5">
        <v>7324</v>
      </c>
      <c r="G266" s="5">
        <v>9.4E-2</v>
      </c>
      <c r="H266" s="5">
        <v>15</v>
      </c>
      <c r="I266" s="5">
        <v>95.8</v>
      </c>
      <c r="J266" s="5">
        <v>0.5</v>
      </c>
      <c r="K266" s="5">
        <v>0</v>
      </c>
      <c r="L266" s="5">
        <v>3.5</v>
      </c>
      <c r="M266" s="5">
        <v>708985.19</v>
      </c>
      <c r="N266" s="5">
        <v>125368.16</v>
      </c>
    </row>
    <row r="267" spans="1:14">
      <c r="A267" s="5" t="s">
        <v>88</v>
      </c>
      <c r="B267" s="6">
        <v>45689</v>
      </c>
      <c r="C267" s="5" t="s">
        <v>15</v>
      </c>
      <c r="D267" s="5" t="s">
        <v>18</v>
      </c>
      <c r="E267" s="5">
        <v>73454.539999999994</v>
      </c>
      <c r="F267" s="5">
        <v>8129</v>
      </c>
      <c r="G267" s="5">
        <v>0.21099999999999999</v>
      </c>
      <c r="H267" s="5">
        <v>20</v>
      </c>
      <c r="I267" s="5">
        <v>85.2</v>
      </c>
      <c r="J267" s="5">
        <v>0.88</v>
      </c>
      <c r="K267" s="5">
        <v>0</v>
      </c>
      <c r="L267" s="5">
        <v>3.7</v>
      </c>
      <c r="M267" s="5">
        <v>767792.94</v>
      </c>
      <c r="N267" s="5">
        <v>96235.77</v>
      </c>
    </row>
    <row r="268" spans="1:14">
      <c r="A268" s="5" t="s">
        <v>88</v>
      </c>
      <c r="B268" s="6">
        <v>45717</v>
      </c>
      <c r="C268" s="5" t="s">
        <v>15</v>
      </c>
      <c r="D268" s="5" t="s">
        <v>18</v>
      </c>
      <c r="E268" s="5">
        <v>56602.39</v>
      </c>
      <c r="F268" s="5">
        <v>7969</v>
      </c>
      <c r="G268" s="5">
        <v>0.17</v>
      </c>
      <c r="H268" s="5">
        <v>21</v>
      </c>
      <c r="I268" s="5">
        <v>88.3</v>
      </c>
      <c r="J268" s="5">
        <v>2.25</v>
      </c>
      <c r="K268" s="5">
        <v>0</v>
      </c>
      <c r="L268" s="5">
        <v>3.7</v>
      </c>
      <c r="M268" s="5">
        <v>745580.51</v>
      </c>
      <c r="N268" s="5">
        <v>116273.68</v>
      </c>
    </row>
    <row r="269" spans="1:14">
      <c r="A269" s="5" t="s">
        <v>88</v>
      </c>
      <c r="B269" s="6">
        <v>45748</v>
      </c>
      <c r="C269" s="5" t="s">
        <v>15</v>
      </c>
      <c r="D269" s="5" t="s">
        <v>18</v>
      </c>
      <c r="E269" s="5">
        <v>67722.289999999994</v>
      </c>
      <c r="F269" s="5">
        <v>7240</v>
      </c>
      <c r="G269" s="5">
        <v>2.5999999999999999E-2</v>
      </c>
      <c r="H269" s="5">
        <v>15</v>
      </c>
      <c r="I269" s="5">
        <v>92.9</v>
      </c>
      <c r="J269" s="5">
        <v>0.28999999999999998</v>
      </c>
      <c r="K269" s="5">
        <v>0</v>
      </c>
      <c r="L269" s="5">
        <v>3.5</v>
      </c>
      <c r="M269" s="5">
        <v>762328.31</v>
      </c>
      <c r="N269" s="5">
        <v>159158.19</v>
      </c>
    </row>
    <row r="270" spans="1:14">
      <c r="A270" s="5" t="s">
        <v>89</v>
      </c>
      <c r="B270" s="6">
        <v>45658</v>
      </c>
      <c r="C270" s="5" t="s">
        <v>15</v>
      </c>
      <c r="D270" s="5" t="s">
        <v>28</v>
      </c>
      <c r="E270" s="5">
        <v>48752.92</v>
      </c>
      <c r="F270" s="5">
        <v>8052</v>
      </c>
      <c r="G270" s="5">
        <v>0.106</v>
      </c>
      <c r="H270" s="5">
        <v>16</v>
      </c>
      <c r="I270" s="5">
        <v>94.9</v>
      </c>
      <c r="J270" s="5">
        <v>0.65</v>
      </c>
      <c r="K270" s="5">
        <v>0</v>
      </c>
      <c r="L270" s="5">
        <v>3.6</v>
      </c>
      <c r="M270" s="5">
        <v>660633.99</v>
      </c>
      <c r="N270" s="5">
        <v>118768.66</v>
      </c>
    </row>
    <row r="271" spans="1:14">
      <c r="A271" s="5" t="s">
        <v>89</v>
      </c>
      <c r="B271" s="6">
        <v>45689</v>
      </c>
      <c r="C271" s="5" t="s">
        <v>15</v>
      </c>
      <c r="D271" s="5" t="s">
        <v>28</v>
      </c>
      <c r="E271" s="5">
        <v>23914.97</v>
      </c>
      <c r="F271" s="5">
        <v>8018</v>
      </c>
      <c r="G271" s="5">
        <v>0.13900000000000001</v>
      </c>
      <c r="H271" s="5">
        <v>20</v>
      </c>
      <c r="I271" s="5">
        <v>89</v>
      </c>
      <c r="J271" s="5">
        <v>0.2</v>
      </c>
      <c r="K271" s="5">
        <v>0</v>
      </c>
      <c r="L271" s="5">
        <v>3.5</v>
      </c>
      <c r="M271" s="5">
        <v>739374.56</v>
      </c>
      <c r="N271" s="5">
        <v>121032.29</v>
      </c>
    </row>
    <row r="272" spans="1:14">
      <c r="A272" s="5" t="s">
        <v>89</v>
      </c>
      <c r="B272" s="6">
        <v>45717</v>
      </c>
      <c r="C272" s="5" t="s">
        <v>15</v>
      </c>
      <c r="D272" s="5" t="s">
        <v>28</v>
      </c>
      <c r="E272" s="5">
        <v>61995.3</v>
      </c>
      <c r="F272" s="5">
        <v>10192</v>
      </c>
      <c r="G272" s="5">
        <v>0.19800000000000001</v>
      </c>
      <c r="H272" s="5">
        <v>21</v>
      </c>
      <c r="I272" s="5">
        <v>87.6</v>
      </c>
      <c r="J272" s="5">
        <v>3.63</v>
      </c>
      <c r="K272" s="5">
        <v>1</v>
      </c>
      <c r="L272" s="5">
        <v>3.8</v>
      </c>
      <c r="M272" s="5">
        <v>799756.46</v>
      </c>
      <c r="N272" s="5">
        <v>105052.93</v>
      </c>
    </row>
    <row r="273" spans="1:14">
      <c r="A273" s="5" t="s">
        <v>89</v>
      </c>
      <c r="B273" s="6">
        <v>45748</v>
      </c>
      <c r="C273" s="5" t="s">
        <v>15</v>
      </c>
      <c r="D273" s="5" t="s">
        <v>28</v>
      </c>
      <c r="E273" s="5">
        <v>29344.93</v>
      </c>
      <c r="F273" s="5">
        <v>7446</v>
      </c>
      <c r="G273" s="5">
        <v>0.111</v>
      </c>
      <c r="H273" s="5">
        <v>15</v>
      </c>
      <c r="I273" s="5">
        <v>86.2</v>
      </c>
      <c r="J273" s="5">
        <v>0.2</v>
      </c>
      <c r="K273" s="5">
        <v>0</v>
      </c>
      <c r="L273" s="5">
        <v>3.2</v>
      </c>
      <c r="M273" s="5">
        <v>593343</v>
      </c>
      <c r="N273" s="5">
        <v>82832.240000000005</v>
      </c>
    </row>
    <row r="274" spans="1:14">
      <c r="A274" s="5" t="s">
        <v>90</v>
      </c>
      <c r="B274" s="6">
        <v>45658</v>
      </c>
      <c r="C274" s="5" t="s">
        <v>27</v>
      </c>
      <c r="D274" s="5" t="s">
        <v>18</v>
      </c>
      <c r="E274" s="5">
        <v>50532.17</v>
      </c>
      <c r="F274" s="5">
        <v>5689</v>
      </c>
      <c r="G274" s="5">
        <v>5.1999999999999998E-2</v>
      </c>
      <c r="H274" s="5">
        <v>17</v>
      </c>
      <c r="I274" s="5">
        <v>85.6</v>
      </c>
      <c r="J274" s="5">
        <v>6.23</v>
      </c>
      <c r="K274" s="5">
        <v>0</v>
      </c>
      <c r="L274" s="5">
        <v>3.3</v>
      </c>
      <c r="M274" s="5">
        <v>645039.97</v>
      </c>
      <c r="N274" s="5">
        <v>83093.33</v>
      </c>
    </row>
    <row r="275" spans="1:14">
      <c r="A275" s="5" t="s">
        <v>90</v>
      </c>
      <c r="B275" s="6">
        <v>45689</v>
      </c>
      <c r="C275" s="5" t="s">
        <v>27</v>
      </c>
      <c r="D275" s="5" t="s">
        <v>18</v>
      </c>
      <c r="E275" s="5">
        <v>17562.57</v>
      </c>
      <c r="F275" s="5">
        <v>3326</v>
      </c>
      <c r="G275" s="5">
        <v>0.153</v>
      </c>
      <c r="H275" s="5">
        <v>14</v>
      </c>
      <c r="I275" s="5">
        <v>88.1</v>
      </c>
      <c r="J275" s="5">
        <v>1.04</v>
      </c>
      <c r="K275" s="5">
        <v>0</v>
      </c>
      <c r="L275" s="5">
        <v>3.1</v>
      </c>
      <c r="M275" s="5">
        <v>561597.32999999996</v>
      </c>
      <c r="N275" s="5">
        <v>75072.75</v>
      </c>
    </row>
    <row r="276" spans="1:14">
      <c r="A276" s="5" t="s">
        <v>90</v>
      </c>
      <c r="B276" s="6">
        <v>45717</v>
      </c>
      <c r="C276" s="5" t="s">
        <v>27</v>
      </c>
      <c r="D276" s="5" t="s">
        <v>18</v>
      </c>
      <c r="E276" s="5">
        <v>47648.71</v>
      </c>
      <c r="F276" s="5">
        <v>5767</v>
      </c>
      <c r="G276" s="5">
        <v>0.14099999999999999</v>
      </c>
      <c r="H276" s="5">
        <v>17</v>
      </c>
      <c r="I276" s="5">
        <v>89.8</v>
      </c>
      <c r="J276" s="5">
        <v>1.76</v>
      </c>
      <c r="K276" s="5">
        <v>0</v>
      </c>
      <c r="L276" s="5">
        <v>3.1</v>
      </c>
      <c r="M276" s="5">
        <v>635837.74</v>
      </c>
      <c r="N276" s="5">
        <v>114740.64</v>
      </c>
    </row>
    <row r="277" spans="1:14">
      <c r="A277" s="5" t="s">
        <v>90</v>
      </c>
      <c r="B277" s="6">
        <v>45748</v>
      </c>
      <c r="C277" s="5" t="s">
        <v>27</v>
      </c>
      <c r="D277" s="5" t="s">
        <v>18</v>
      </c>
      <c r="E277" s="5">
        <v>38297.58</v>
      </c>
      <c r="F277" s="5">
        <v>5893</v>
      </c>
      <c r="G277" s="5">
        <v>0.247</v>
      </c>
      <c r="H277" s="5">
        <v>18</v>
      </c>
      <c r="I277" s="5">
        <v>77.599999999999994</v>
      </c>
      <c r="J277" s="5">
        <v>2.86</v>
      </c>
      <c r="K277" s="5">
        <v>0</v>
      </c>
      <c r="L277" s="5">
        <v>3</v>
      </c>
      <c r="M277" s="5">
        <v>686737.87</v>
      </c>
      <c r="N277" s="5">
        <v>83839.67</v>
      </c>
    </row>
    <row r="278" spans="1:14">
      <c r="A278" s="5" t="s">
        <v>91</v>
      </c>
      <c r="B278" s="6">
        <v>45658</v>
      </c>
      <c r="C278" s="5" t="s">
        <v>24</v>
      </c>
      <c r="D278" s="5" t="s">
        <v>16</v>
      </c>
      <c r="E278" s="5">
        <v>61784.11</v>
      </c>
      <c r="F278" s="5">
        <v>8564</v>
      </c>
      <c r="G278" s="5">
        <v>0.13</v>
      </c>
      <c r="H278" s="5">
        <v>17</v>
      </c>
      <c r="I278" s="5">
        <v>87.4</v>
      </c>
      <c r="J278" s="5">
        <v>18.14</v>
      </c>
      <c r="K278" s="5">
        <v>1</v>
      </c>
      <c r="L278" s="5">
        <v>3.4</v>
      </c>
      <c r="M278" s="5">
        <v>673076.34</v>
      </c>
      <c r="N278" s="5">
        <v>93899.76</v>
      </c>
    </row>
    <row r="279" spans="1:14">
      <c r="A279" s="5" t="s">
        <v>91</v>
      </c>
      <c r="B279" s="6">
        <v>45689</v>
      </c>
      <c r="C279" s="5" t="s">
        <v>24</v>
      </c>
      <c r="D279" s="5" t="s">
        <v>16</v>
      </c>
      <c r="E279" s="5">
        <v>36832.33</v>
      </c>
      <c r="F279" s="5">
        <v>8001</v>
      </c>
      <c r="G279" s="5">
        <v>0</v>
      </c>
      <c r="H279" s="5">
        <v>19</v>
      </c>
      <c r="I279" s="5">
        <v>88.7</v>
      </c>
      <c r="J279" s="5">
        <v>3.39</v>
      </c>
      <c r="K279" s="5">
        <v>0</v>
      </c>
      <c r="L279" s="5">
        <v>4</v>
      </c>
      <c r="M279" s="5">
        <v>738548.42</v>
      </c>
      <c r="N279" s="5">
        <v>134282.76999999999</v>
      </c>
    </row>
    <row r="280" spans="1:14">
      <c r="A280" s="5" t="s">
        <v>91</v>
      </c>
      <c r="B280" s="6">
        <v>45717</v>
      </c>
      <c r="C280" s="5" t="s">
        <v>24</v>
      </c>
      <c r="D280" s="5" t="s">
        <v>16</v>
      </c>
      <c r="E280" s="5">
        <v>48609.41</v>
      </c>
      <c r="F280" s="5">
        <v>9324</v>
      </c>
      <c r="G280" s="5">
        <v>0.21299999999999999</v>
      </c>
      <c r="H280" s="5">
        <v>18</v>
      </c>
      <c r="I280" s="5">
        <v>86.5</v>
      </c>
      <c r="J280" s="5">
        <v>1.44</v>
      </c>
      <c r="K280" s="5">
        <v>0</v>
      </c>
      <c r="L280" s="5">
        <v>3.9</v>
      </c>
      <c r="M280" s="5">
        <v>756619.77</v>
      </c>
      <c r="N280" s="5">
        <v>112057.69</v>
      </c>
    </row>
    <row r="281" spans="1:14">
      <c r="A281" s="5" t="s">
        <v>91</v>
      </c>
      <c r="B281" s="6">
        <v>45748</v>
      </c>
      <c r="C281" s="5" t="s">
        <v>24</v>
      </c>
      <c r="D281" s="5" t="s">
        <v>16</v>
      </c>
      <c r="E281" s="5">
        <v>70284.06</v>
      </c>
      <c r="F281" s="5">
        <v>9109</v>
      </c>
      <c r="G281" s="5">
        <v>4.0000000000000001E-3</v>
      </c>
      <c r="H281" s="5">
        <v>23</v>
      </c>
      <c r="I281" s="5">
        <v>87</v>
      </c>
      <c r="J281" s="5">
        <v>3.65</v>
      </c>
      <c r="K281" s="5">
        <v>0</v>
      </c>
      <c r="L281" s="5">
        <v>3.7</v>
      </c>
      <c r="M281" s="5">
        <v>761122.42</v>
      </c>
      <c r="N281" s="5">
        <v>149802.04</v>
      </c>
    </row>
    <row r="282" spans="1:14">
      <c r="A282" s="5" t="s">
        <v>92</v>
      </c>
      <c r="B282" s="6">
        <v>45658</v>
      </c>
      <c r="C282" s="5" t="s">
        <v>24</v>
      </c>
      <c r="D282" s="5" t="s">
        <v>18</v>
      </c>
      <c r="E282" s="5">
        <v>45940.39</v>
      </c>
      <c r="F282" s="5">
        <v>4022</v>
      </c>
      <c r="G282" s="5">
        <v>6.9000000000000006E-2</v>
      </c>
      <c r="H282" s="5">
        <v>10</v>
      </c>
      <c r="I282" s="5">
        <v>83</v>
      </c>
      <c r="J282" s="5">
        <v>1.23</v>
      </c>
      <c r="K282" s="5">
        <v>1</v>
      </c>
      <c r="L282" s="5">
        <v>3.8</v>
      </c>
      <c r="M282" s="5">
        <v>524899.56999999995</v>
      </c>
      <c r="N282" s="5">
        <v>63619.98</v>
      </c>
    </row>
    <row r="283" spans="1:14">
      <c r="A283" s="5" t="s">
        <v>92</v>
      </c>
      <c r="B283" s="6">
        <v>45689</v>
      </c>
      <c r="C283" s="5" t="s">
        <v>24</v>
      </c>
      <c r="D283" s="5" t="s">
        <v>18</v>
      </c>
      <c r="E283" s="5">
        <v>34771.26</v>
      </c>
      <c r="F283" s="5">
        <v>4355</v>
      </c>
      <c r="G283" s="5">
        <v>5.0999999999999997E-2</v>
      </c>
      <c r="H283" s="5">
        <v>15</v>
      </c>
      <c r="I283" s="5">
        <v>87.9</v>
      </c>
      <c r="J283" s="5">
        <v>3.09</v>
      </c>
      <c r="K283" s="5">
        <v>0</v>
      </c>
      <c r="L283" s="5">
        <v>4</v>
      </c>
      <c r="M283" s="5">
        <v>555557.77</v>
      </c>
      <c r="N283" s="5">
        <v>86475.51</v>
      </c>
    </row>
    <row r="284" spans="1:14">
      <c r="A284" s="5" t="s">
        <v>92</v>
      </c>
      <c r="B284" s="6">
        <v>45717</v>
      </c>
      <c r="C284" s="5" t="s">
        <v>24</v>
      </c>
      <c r="D284" s="5" t="s">
        <v>18</v>
      </c>
      <c r="E284" s="5">
        <v>66104.19</v>
      </c>
      <c r="F284" s="5">
        <v>5745</v>
      </c>
      <c r="G284" s="5">
        <v>7.0000000000000007E-2</v>
      </c>
      <c r="H284" s="5">
        <v>17</v>
      </c>
      <c r="I284" s="5">
        <v>95.8</v>
      </c>
      <c r="J284" s="5">
        <v>3.15</v>
      </c>
      <c r="K284" s="5">
        <v>0</v>
      </c>
      <c r="L284" s="5">
        <v>4</v>
      </c>
      <c r="M284" s="5">
        <v>714083.68</v>
      </c>
      <c r="N284" s="5">
        <v>127231.74</v>
      </c>
    </row>
    <row r="285" spans="1:14">
      <c r="A285" s="5" t="s">
        <v>92</v>
      </c>
      <c r="B285" s="6">
        <v>45748</v>
      </c>
      <c r="C285" s="5" t="s">
        <v>24</v>
      </c>
      <c r="D285" s="5" t="s">
        <v>18</v>
      </c>
      <c r="E285" s="5">
        <v>18599.21</v>
      </c>
      <c r="F285" s="5">
        <v>3027</v>
      </c>
      <c r="G285" s="5">
        <v>0.122</v>
      </c>
      <c r="H285" s="5">
        <v>11</v>
      </c>
      <c r="I285" s="5">
        <v>80.900000000000006</v>
      </c>
      <c r="J285" s="5">
        <v>6.44</v>
      </c>
      <c r="K285" s="5">
        <v>0</v>
      </c>
      <c r="L285" s="5">
        <v>4.2</v>
      </c>
      <c r="M285" s="5">
        <v>497439.82</v>
      </c>
      <c r="N285" s="5">
        <v>93372.75</v>
      </c>
    </row>
    <row r="286" spans="1:14">
      <c r="A286" s="5" t="s">
        <v>93</v>
      </c>
      <c r="B286" s="6">
        <v>45658</v>
      </c>
      <c r="C286" s="5" t="s">
        <v>27</v>
      </c>
      <c r="D286" s="5" t="s">
        <v>16</v>
      </c>
      <c r="E286" s="5">
        <v>60183.06</v>
      </c>
      <c r="F286" s="5">
        <v>5562</v>
      </c>
      <c r="G286" s="5">
        <v>8.9999999999999993E-3</v>
      </c>
      <c r="H286" s="5">
        <v>13</v>
      </c>
      <c r="I286" s="5">
        <v>86.3</v>
      </c>
      <c r="J286" s="5">
        <v>0.2</v>
      </c>
      <c r="K286" s="5">
        <v>1</v>
      </c>
      <c r="L286" s="5">
        <v>4.5</v>
      </c>
      <c r="M286" s="5">
        <v>636775.66</v>
      </c>
      <c r="N286" s="5">
        <v>122636.86</v>
      </c>
    </row>
    <row r="287" spans="1:14">
      <c r="A287" s="5" t="s">
        <v>93</v>
      </c>
      <c r="B287" s="6">
        <v>45689</v>
      </c>
      <c r="C287" s="5" t="s">
        <v>27</v>
      </c>
      <c r="D287" s="5" t="s">
        <v>16</v>
      </c>
      <c r="E287" s="5">
        <v>74539.14</v>
      </c>
      <c r="F287" s="5">
        <v>4487</v>
      </c>
      <c r="G287" s="5">
        <v>0.14000000000000001</v>
      </c>
      <c r="H287" s="5">
        <v>10</v>
      </c>
      <c r="I287" s="5">
        <v>90.4</v>
      </c>
      <c r="J287" s="5">
        <v>0.59</v>
      </c>
      <c r="K287" s="5">
        <v>0</v>
      </c>
      <c r="L287" s="5">
        <v>4.5</v>
      </c>
      <c r="M287" s="5">
        <v>633009.53</v>
      </c>
      <c r="N287" s="5">
        <v>123782.67</v>
      </c>
    </row>
    <row r="288" spans="1:14">
      <c r="A288" s="5" t="s">
        <v>93</v>
      </c>
      <c r="B288" s="6">
        <v>45717</v>
      </c>
      <c r="C288" s="5" t="s">
        <v>27</v>
      </c>
      <c r="D288" s="5" t="s">
        <v>16</v>
      </c>
      <c r="E288" s="5">
        <v>55371.97</v>
      </c>
      <c r="F288" s="5">
        <v>4162</v>
      </c>
      <c r="G288" s="5">
        <v>0.183</v>
      </c>
      <c r="H288" s="5">
        <v>11</v>
      </c>
      <c r="I288" s="5">
        <v>92</v>
      </c>
      <c r="J288" s="5">
        <v>0.2</v>
      </c>
      <c r="K288" s="5">
        <v>1</v>
      </c>
      <c r="L288" s="5">
        <v>4.2</v>
      </c>
      <c r="M288" s="5">
        <v>609949</v>
      </c>
      <c r="N288" s="5">
        <v>126789.25</v>
      </c>
    </row>
    <row r="289" spans="1:14">
      <c r="A289" s="5" t="s">
        <v>93</v>
      </c>
      <c r="B289" s="6">
        <v>45748</v>
      </c>
      <c r="C289" s="5" t="s">
        <v>27</v>
      </c>
      <c r="D289" s="5" t="s">
        <v>16</v>
      </c>
      <c r="E289" s="5">
        <v>40928.69</v>
      </c>
      <c r="F289" s="5">
        <v>4094</v>
      </c>
      <c r="G289" s="5">
        <v>0.17399999999999999</v>
      </c>
      <c r="H289" s="5">
        <v>13</v>
      </c>
      <c r="I289" s="5">
        <v>82.4</v>
      </c>
      <c r="J289" s="5">
        <v>1.36</v>
      </c>
      <c r="K289" s="5">
        <v>0</v>
      </c>
      <c r="L289" s="5">
        <v>4.8</v>
      </c>
      <c r="M289" s="5">
        <v>548103.69999999995</v>
      </c>
      <c r="N289" s="5">
        <v>99905.52</v>
      </c>
    </row>
    <row r="290" spans="1:14">
      <c r="A290" s="5" t="s">
        <v>94</v>
      </c>
      <c r="B290" s="6">
        <v>45658</v>
      </c>
      <c r="C290" s="5" t="s">
        <v>15</v>
      </c>
      <c r="D290" s="5" t="s">
        <v>16</v>
      </c>
      <c r="E290" s="5">
        <v>70012.41</v>
      </c>
      <c r="F290" s="5">
        <v>8484</v>
      </c>
      <c r="G290" s="5">
        <v>0.27300000000000002</v>
      </c>
      <c r="H290" s="5">
        <v>23</v>
      </c>
      <c r="I290" s="5">
        <v>72.900000000000006</v>
      </c>
      <c r="J290" s="5">
        <v>3.34</v>
      </c>
      <c r="K290" s="5">
        <v>0</v>
      </c>
      <c r="L290" s="5">
        <v>3.7</v>
      </c>
      <c r="M290" s="5">
        <v>729424.42</v>
      </c>
      <c r="N290" s="5">
        <v>75592.28</v>
      </c>
    </row>
    <row r="291" spans="1:14">
      <c r="A291" s="5" t="s">
        <v>94</v>
      </c>
      <c r="B291" s="6">
        <v>45689</v>
      </c>
      <c r="C291" s="5" t="s">
        <v>15</v>
      </c>
      <c r="D291" s="5" t="s">
        <v>16</v>
      </c>
      <c r="E291" s="5">
        <v>68909.259999999995</v>
      </c>
      <c r="F291" s="5">
        <v>7794</v>
      </c>
      <c r="G291" s="5">
        <v>0.28399999999999997</v>
      </c>
      <c r="H291" s="5">
        <v>22</v>
      </c>
      <c r="I291" s="5">
        <v>89</v>
      </c>
      <c r="J291" s="5">
        <v>0.33</v>
      </c>
      <c r="K291" s="5">
        <v>0</v>
      </c>
      <c r="L291" s="5">
        <v>4</v>
      </c>
      <c r="M291" s="5">
        <v>696261.49</v>
      </c>
      <c r="N291" s="5">
        <v>72455.350000000006</v>
      </c>
    </row>
    <row r="292" spans="1:14">
      <c r="A292" s="5" t="s">
        <v>94</v>
      </c>
      <c r="B292" s="6">
        <v>45717</v>
      </c>
      <c r="C292" s="5" t="s">
        <v>15</v>
      </c>
      <c r="D292" s="5" t="s">
        <v>16</v>
      </c>
      <c r="E292" s="5">
        <v>56737.3</v>
      </c>
      <c r="F292" s="5">
        <v>8300</v>
      </c>
      <c r="G292" s="5">
        <v>3.2000000000000001E-2</v>
      </c>
      <c r="H292" s="5">
        <v>21</v>
      </c>
      <c r="I292" s="5">
        <v>83.2</v>
      </c>
      <c r="J292" s="5">
        <v>3.44</v>
      </c>
      <c r="K292" s="5">
        <v>1</v>
      </c>
      <c r="L292" s="5">
        <v>4.3</v>
      </c>
      <c r="M292" s="5">
        <v>813316.71</v>
      </c>
      <c r="N292" s="5">
        <v>110077.42</v>
      </c>
    </row>
    <row r="293" spans="1:14">
      <c r="A293" s="5" t="s">
        <v>94</v>
      </c>
      <c r="B293" s="6">
        <v>45748</v>
      </c>
      <c r="C293" s="5" t="s">
        <v>15</v>
      </c>
      <c r="D293" s="5" t="s">
        <v>16</v>
      </c>
      <c r="E293" s="5">
        <v>54080.91</v>
      </c>
      <c r="F293" s="5">
        <v>7083</v>
      </c>
      <c r="G293" s="5">
        <v>0</v>
      </c>
      <c r="H293" s="5">
        <v>15</v>
      </c>
      <c r="I293" s="5">
        <v>97</v>
      </c>
      <c r="J293" s="5">
        <v>5.33</v>
      </c>
      <c r="K293" s="5">
        <v>0</v>
      </c>
      <c r="L293" s="5">
        <v>4.0999999999999996</v>
      </c>
      <c r="M293" s="5">
        <v>702068.92</v>
      </c>
      <c r="N293" s="5">
        <v>111266.63</v>
      </c>
    </row>
    <row r="294" spans="1:14">
      <c r="A294" s="5" t="s">
        <v>95</v>
      </c>
      <c r="B294" s="6">
        <v>45658</v>
      </c>
      <c r="C294" s="5" t="s">
        <v>27</v>
      </c>
      <c r="D294" s="5" t="s">
        <v>18</v>
      </c>
      <c r="E294" s="5">
        <v>51996.32</v>
      </c>
      <c r="F294" s="5">
        <v>3834</v>
      </c>
      <c r="G294" s="5">
        <v>9.6000000000000002E-2</v>
      </c>
      <c r="H294" s="5">
        <v>8</v>
      </c>
      <c r="I294" s="5">
        <v>86.7</v>
      </c>
      <c r="J294" s="5">
        <v>6.04</v>
      </c>
      <c r="K294" s="5">
        <v>0</v>
      </c>
      <c r="L294" s="5">
        <v>4.5</v>
      </c>
      <c r="M294" s="5">
        <v>546223.69999999995</v>
      </c>
      <c r="N294" s="5">
        <v>100769.17</v>
      </c>
    </row>
    <row r="295" spans="1:14">
      <c r="A295" s="5" t="s">
        <v>95</v>
      </c>
      <c r="B295" s="6">
        <v>45689</v>
      </c>
      <c r="C295" s="5" t="s">
        <v>27</v>
      </c>
      <c r="D295" s="5" t="s">
        <v>18</v>
      </c>
      <c r="E295" s="5">
        <v>40102.879999999997</v>
      </c>
      <c r="F295" s="5">
        <v>2358</v>
      </c>
      <c r="G295" s="5">
        <v>0.11899999999999999</v>
      </c>
      <c r="H295" s="5">
        <v>9</v>
      </c>
      <c r="I295" s="5">
        <v>88.7</v>
      </c>
      <c r="J295" s="5">
        <v>1.6</v>
      </c>
      <c r="K295" s="5">
        <v>0</v>
      </c>
      <c r="L295" s="5">
        <v>4.2</v>
      </c>
      <c r="M295" s="5">
        <v>533121.26</v>
      </c>
      <c r="N295" s="5">
        <v>55063.39</v>
      </c>
    </row>
    <row r="296" spans="1:14">
      <c r="A296" s="5" t="s">
        <v>95</v>
      </c>
      <c r="B296" s="6">
        <v>45717</v>
      </c>
      <c r="C296" s="5" t="s">
        <v>27</v>
      </c>
      <c r="D296" s="5" t="s">
        <v>18</v>
      </c>
      <c r="E296" s="5">
        <v>59825.51</v>
      </c>
      <c r="F296" s="5">
        <v>1231</v>
      </c>
      <c r="G296" s="5">
        <v>0.214</v>
      </c>
      <c r="H296" s="5">
        <v>10</v>
      </c>
      <c r="I296" s="5">
        <v>84.8</v>
      </c>
      <c r="J296" s="5">
        <v>8.9600000000000009</v>
      </c>
      <c r="K296" s="5">
        <v>0</v>
      </c>
      <c r="L296" s="5">
        <v>4.7</v>
      </c>
      <c r="M296" s="5">
        <v>498970.32</v>
      </c>
      <c r="N296" s="5">
        <v>69656.7</v>
      </c>
    </row>
    <row r="297" spans="1:14">
      <c r="A297" s="5" t="s">
        <v>95</v>
      </c>
      <c r="B297" s="6">
        <v>45748</v>
      </c>
      <c r="C297" s="5" t="s">
        <v>27</v>
      </c>
      <c r="D297" s="5" t="s">
        <v>18</v>
      </c>
      <c r="E297" s="5">
        <v>27398.28</v>
      </c>
      <c r="F297" s="5">
        <v>1723</v>
      </c>
      <c r="G297" s="5">
        <v>0.17100000000000001</v>
      </c>
      <c r="H297" s="5">
        <v>9</v>
      </c>
      <c r="I297" s="5">
        <v>81</v>
      </c>
      <c r="J297" s="5">
        <v>0.74</v>
      </c>
      <c r="K297" s="5">
        <v>0</v>
      </c>
      <c r="L297" s="5">
        <v>4.5999999999999996</v>
      </c>
      <c r="M297" s="5">
        <v>487738.26</v>
      </c>
      <c r="N297" s="5">
        <v>96435.6</v>
      </c>
    </row>
    <row r="298" spans="1:14">
      <c r="A298" s="5" t="s">
        <v>96</v>
      </c>
      <c r="B298" s="6">
        <v>45658</v>
      </c>
      <c r="C298" s="5" t="s">
        <v>27</v>
      </c>
      <c r="D298" s="5" t="s">
        <v>18</v>
      </c>
      <c r="E298" s="5">
        <v>55599.56</v>
      </c>
      <c r="F298" s="5">
        <v>5896</v>
      </c>
      <c r="G298" s="5">
        <v>3.5999999999999997E-2</v>
      </c>
      <c r="H298" s="5">
        <v>12</v>
      </c>
      <c r="I298" s="5">
        <v>93.1</v>
      </c>
      <c r="J298" s="5">
        <v>6.13</v>
      </c>
      <c r="K298" s="5">
        <v>0</v>
      </c>
      <c r="L298" s="5">
        <v>3.3</v>
      </c>
      <c r="M298" s="5">
        <v>668459.37</v>
      </c>
      <c r="N298" s="5">
        <v>126435.42</v>
      </c>
    </row>
    <row r="299" spans="1:14">
      <c r="A299" s="5" t="s">
        <v>96</v>
      </c>
      <c r="B299" s="6">
        <v>45689</v>
      </c>
      <c r="C299" s="5" t="s">
        <v>27</v>
      </c>
      <c r="D299" s="5" t="s">
        <v>18</v>
      </c>
      <c r="E299" s="5">
        <v>55477.61</v>
      </c>
      <c r="F299" s="5">
        <v>5903</v>
      </c>
      <c r="G299" s="5">
        <v>0.10199999999999999</v>
      </c>
      <c r="H299" s="5">
        <v>14</v>
      </c>
      <c r="I299" s="5">
        <v>96.2</v>
      </c>
      <c r="J299" s="5">
        <v>1.41</v>
      </c>
      <c r="K299" s="5">
        <v>0</v>
      </c>
      <c r="L299" s="5">
        <v>3.3</v>
      </c>
      <c r="M299" s="5">
        <v>763162.45</v>
      </c>
      <c r="N299" s="5">
        <v>162524.04999999999</v>
      </c>
    </row>
    <row r="300" spans="1:14">
      <c r="A300" s="5" t="s">
        <v>96</v>
      </c>
      <c r="B300" s="6">
        <v>45717</v>
      </c>
      <c r="C300" s="5" t="s">
        <v>27</v>
      </c>
      <c r="D300" s="5" t="s">
        <v>18</v>
      </c>
      <c r="E300" s="5">
        <v>46174.7</v>
      </c>
      <c r="F300" s="5">
        <v>4898</v>
      </c>
      <c r="G300" s="5">
        <v>0.114</v>
      </c>
      <c r="H300" s="5">
        <v>11</v>
      </c>
      <c r="I300" s="5">
        <v>91.7</v>
      </c>
      <c r="J300" s="5">
        <v>3.75</v>
      </c>
      <c r="K300" s="5">
        <v>0</v>
      </c>
      <c r="L300" s="5">
        <v>3.1</v>
      </c>
      <c r="M300" s="5">
        <v>599017.32999999996</v>
      </c>
      <c r="N300" s="5">
        <v>134009.92000000001</v>
      </c>
    </row>
    <row r="301" spans="1:14">
      <c r="A301" s="5" t="s">
        <v>96</v>
      </c>
      <c r="B301" s="6">
        <v>45748</v>
      </c>
      <c r="C301" s="5" t="s">
        <v>27</v>
      </c>
      <c r="D301" s="5" t="s">
        <v>18</v>
      </c>
      <c r="E301" s="5">
        <v>24362.98</v>
      </c>
      <c r="F301" s="5">
        <v>1462</v>
      </c>
      <c r="G301" s="5">
        <v>0.11700000000000001</v>
      </c>
      <c r="H301" s="5">
        <v>6</v>
      </c>
      <c r="I301" s="5">
        <v>89.3</v>
      </c>
      <c r="J301" s="5">
        <v>15.06</v>
      </c>
      <c r="K301" s="5">
        <v>0</v>
      </c>
      <c r="L301" s="5">
        <v>3.2</v>
      </c>
      <c r="M301" s="5">
        <v>401582.58</v>
      </c>
      <c r="N301" s="5">
        <v>68454.929999999993</v>
      </c>
    </row>
    <row r="302" spans="1:14">
      <c r="A302" s="5" t="s">
        <v>97</v>
      </c>
      <c r="B302" s="6">
        <v>45658</v>
      </c>
      <c r="C302" s="5" t="s">
        <v>20</v>
      </c>
      <c r="D302" s="5" t="s">
        <v>28</v>
      </c>
      <c r="E302" s="5">
        <v>40647.67</v>
      </c>
      <c r="F302" s="5">
        <v>8252</v>
      </c>
      <c r="G302" s="5">
        <v>0.14099999999999999</v>
      </c>
      <c r="H302" s="5">
        <v>22</v>
      </c>
      <c r="I302" s="5">
        <v>88.2</v>
      </c>
      <c r="J302" s="5">
        <v>5.07</v>
      </c>
      <c r="K302" s="5">
        <v>1</v>
      </c>
      <c r="L302" s="5">
        <v>4.0999999999999996</v>
      </c>
      <c r="M302" s="5">
        <v>703812.99</v>
      </c>
      <c r="N302" s="5">
        <v>133577.98000000001</v>
      </c>
    </row>
    <row r="303" spans="1:14">
      <c r="A303" s="5" t="s">
        <v>97</v>
      </c>
      <c r="B303" s="6">
        <v>45689</v>
      </c>
      <c r="C303" s="5" t="s">
        <v>20</v>
      </c>
      <c r="D303" s="5" t="s">
        <v>28</v>
      </c>
      <c r="E303" s="5">
        <v>63986.98</v>
      </c>
      <c r="F303" s="5">
        <v>7989</v>
      </c>
      <c r="G303" s="5">
        <v>7.3999999999999996E-2</v>
      </c>
      <c r="H303" s="5">
        <v>20</v>
      </c>
      <c r="I303" s="5">
        <v>83.3</v>
      </c>
      <c r="J303" s="5">
        <v>3.6</v>
      </c>
      <c r="K303" s="5">
        <v>0</v>
      </c>
      <c r="L303" s="5">
        <v>3.7</v>
      </c>
      <c r="M303" s="5">
        <v>724346.73</v>
      </c>
      <c r="N303" s="5">
        <v>155013.91</v>
      </c>
    </row>
    <row r="304" spans="1:14">
      <c r="A304" s="5" t="s">
        <v>97</v>
      </c>
      <c r="B304" s="6">
        <v>45717</v>
      </c>
      <c r="C304" s="5" t="s">
        <v>20</v>
      </c>
      <c r="D304" s="5" t="s">
        <v>28</v>
      </c>
      <c r="E304" s="5">
        <v>52843.75</v>
      </c>
      <c r="F304" s="5">
        <v>8268</v>
      </c>
      <c r="G304" s="5">
        <v>0.13800000000000001</v>
      </c>
      <c r="H304" s="5">
        <v>19</v>
      </c>
      <c r="I304" s="5">
        <v>87.3</v>
      </c>
      <c r="J304" s="5">
        <v>4.3899999999999997</v>
      </c>
      <c r="K304" s="5">
        <v>1</v>
      </c>
      <c r="L304" s="5">
        <v>4.7</v>
      </c>
      <c r="M304" s="5">
        <v>730890.01</v>
      </c>
      <c r="N304" s="5">
        <v>105502.56</v>
      </c>
    </row>
    <row r="305" spans="1:14">
      <c r="A305" s="5" t="s">
        <v>97</v>
      </c>
      <c r="B305" s="6">
        <v>45748</v>
      </c>
      <c r="C305" s="5" t="s">
        <v>20</v>
      </c>
      <c r="D305" s="5" t="s">
        <v>28</v>
      </c>
      <c r="E305" s="5">
        <v>31997.25</v>
      </c>
      <c r="F305" s="5">
        <v>8183</v>
      </c>
      <c r="G305" s="5">
        <v>0.19800000000000001</v>
      </c>
      <c r="H305" s="5">
        <v>18</v>
      </c>
      <c r="I305" s="5">
        <v>93</v>
      </c>
      <c r="J305" s="5">
        <v>2.79</v>
      </c>
      <c r="K305" s="5">
        <v>0</v>
      </c>
      <c r="L305" s="5">
        <v>4.2</v>
      </c>
      <c r="M305" s="5">
        <v>780580.95</v>
      </c>
      <c r="N305" s="5">
        <v>138144.46</v>
      </c>
    </row>
    <row r="306" spans="1:14">
      <c r="A306" s="5" t="s">
        <v>98</v>
      </c>
      <c r="B306" s="6">
        <v>45658</v>
      </c>
      <c r="C306" s="5" t="s">
        <v>24</v>
      </c>
      <c r="D306" s="5" t="s">
        <v>16</v>
      </c>
      <c r="E306" s="5">
        <v>54948.02</v>
      </c>
      <c r="F306" s="5">
        <v>6534</v>
      </c>
      <c r="G306" s="5">
        <v>0.183</v>
      </c>
      <c r="H306" s="5">
        <v>14</v>
      </c>
      <c r="I306" s="5">
        <v>94.5</v>
      </c>
      <c r="J306" s="5">
        <v>1.56</v>
      </c>
      <c r="K306" s="5">
        <v>0</v>
      </c>
      <c r="L306" s="5">
        <v>4</v>
      </c>
      <c r="M306" s="5">
        <v>727957.48</v>
      </c>
      <c r="N306" s="5">
        <v>74805.23</v>
      </c>
    </row>
    <row r="307" spans="1:14">
      <c r="A307" s="5" t="s">
        <v>98</v>
      </c>
      <c r="B307" s="6">
        <v>45689</v>
      </c>
      <c r="C307" s="5" t="s">
        <v>24</v>
      </c>
      <c r="D307" s="5" t="s">
        <v>16</v>
      </c>
      <c r="E307" s="5">
        <v>46146.239999999998</v>
      </c>
      <c r="F307" s="5">
        <v>5804</v>
      </c>
      <c r="G307" s="5">
        <v>4.7E-2</v>
      </c>
      <c r="H307" s="5">
        <v>16</v>
      </c>
      <c r="I307" s="5">
        <v>86.9</v>
      </c>
      <c r="J307" s="5">
        <v>15.82</v>
      </c>
      <c r="K307" s="5">
        <v>0</v>
      </c>
      <c r="L307" s="5">
        <v>3.8</v>
      </c>
      <c r="M307" s="5">
        <v>538376</v>
      </c>
      <c r="N307" s="5">
        <v>87605.62</v>
      </c>
    </row>
    <row r="308" spans="1:14">
      <c r="A308" s="5" t="s">
        <v>98</v>
      </c>
      <c r="B308" s="6">
        <v>45717</v>
      </c>
      <c r="C308" s="5" t="s">
        <v>24</v>
      </c>
      <c r="D308" s="5" t="s">
        <v>16</v>
      </c>
      <c r="E308" s="5">
        <v>22387.26</v>
      </c>
      <c r="F308" s="5">
        <v>6301</v>
      </c>
      <c r="G308" s="5">
        <v>0.14599999999999999</v>
      </c>
      <c r="H308" s="5">
        <v>14</v>
      </c>
      <c r="I308" s="5">
        <v>85.9</v>
      </c>
      <c r="J308" s="5">
        <v>1.17</v>
      </c>
      <c r="K308" s="5">
        <v>1</v>
      </c>
      <c r="L308" s="5">
        <v>3.7</v>
      </c>
      <c r="M308" s="5">
        <v>665342.49</v>
      </c>
      <c r="N308" s="5">
        <v>93441.81</v>
      </c>
    </row>
    <row r="309" spans="1:14">
      <c r="A309" s="5" t="s">
        <v>98</v>
      </c>
      <c r="B309" s="6">
        <v>45748</v>
      </c>
      <c r="C309" s="5" t="s">
        <v>24</v>
      </c>
      <c r="D309" s="5" t="s">
        <v>16</v>
      </c>
      <c r="E309" s="5">
        <v>60684.05</v>
      </c>
      <c r="F309" s="5">
        <v>6399</v>
      </c>
      <c r="G309" s="5">
        <v>7.4999999999999997E-2</v>
      </c>
      <c r="H309" s="5">
        <v>16</v>
      </c>
      <c r="I309" s="5">
        <v>99</v>
      </c>
      <c r="J309" s="5">
        <v>3.82</v>
      </c>
      <c r="K309" s="5">
        <v>0</v>
      </c>
      <c r="L309" s="5">
        <v>3.5</v>
      </c>
      <c r="M309" s="5">
        <v>651164.18000000005</v>
      </c>
      <c r="N309" s="5">
        <v>109466.5</v>
      </c>
    </row>
    <row r="310" spans="1:14">
      <c r="A310" s="5" t="s">
        <v>99</v>
      </c>
      <c r="B310" s="6">
        <v>45658</v>
      </c>
      <c r="C310" s="5" t="s">
        <v>24</v>
      </c>
      <c r="D310" s="5" t="s">
        <v>18</v>
      </c>
      <c r="E310" s="5">
        <v>48465.599999999999</v>
      </c>
      <c r="F310" s="5">
        <v>5759</v>
      </c>
      <c r="G310" s="5">
        <v>0.154</v>
      </c>
      <c r="H310" s="5">
        <v>13</v>
      </c>
      <c r="I310" s="5">
        <v>87.5</v>
      </c>
      <c r="J310" s="5">
        <v>4.1399999999999997</v>
      </c>
      <c r="K310" s="5">
        <v>0</v>
      </c>
      <c r="L310" s="5">
        <v>4</v>
      </c>
      <c r="M310" s="5">
        <v>628538.30000000005</v>
      </c>
      <c r="N310" s="5">
        <v>112509.15</v>
      </c>
    </row>
    <row r="311" spans="1:14">
      <c r="A311" s="5" t="s">
        <v>99</v>
      </c>
      <c r="B311" s="6">
        <v>45689</v>
      </c>
      <c r="C311" s="5" t="s">
        <v>24</v>
      </c>
      <c r="D311" s="5" t="s">
        <v>18</v>
      </c>
      <c r="E311" s="5">
        <v>23702.38</v>
      </c>
      <c r="F311" s="5">
        <v>5285</v>
      </c>
      <c r="G311" s="5">
        <v>0.16700000000000001</v>
      </c>
      <c r="H311" s="5">
        <v>14</v>
      </c>
      <c r="I311" s="5">
        <v>79.7</v>
      </c>
      <c r="J311" s="5">
        <v>1.1000000000000001</v>
      </c>
      <c r="K311" s="5">
        <v>0</v>
      </c>
      <c r="L311" s="5">
        <v>4.3</v>
      </c>
      <c r="M311" s="5">
        <v>536524.84</v>
      </c>
      <c r="N311" s="5">
        <v>92752.94</v>
      </c>
    </row>
    <row r="312" spans="1:14">
      <c r="A312" s="5" t="s">
        <v>99</v>
      </c>
      <c r="B312" s="6">
        <v>45717</v>
      </c>
      <c r="C312" s="5" t="s">
        <v>24</v>
      </c>
      <c r="D312" s="5" t="s">
        <v>18</v>
      </c>
      <c r="E312" s="5">
        <v>54322.94</v>
      </c>
      <c r="F312" s="5">
        <v>5434</v>
      </c>
      <c r="G312" s="5">
        <v>0.2</v>
      </c>
      <c r="H312" s="5">
        <v>13</v>
      </c>
      <c r="I312" s="5">
        <v>85.7</v>
      </c>
      <c r="J312" s="5">
        <v>10.6</v>
      </c>
      <c r="K312" s="5">
        <v>0</v>
      </c>
      <c r="L312" s="5">
        <v>4.2</v>
      </c>
      <c r="M312" s="5">
        <v>621677.30000000005</v>
      </c>
      <c r="N312" s="5">
        <v>105192.52</v>
      </c>
    </row>
    <row r="313" spans="1:14">
      <c r="A313" s="5" t="s">
        <v>99</v>
      </c>
      <c r="B313" s="6">
        <v>45748</v>
      </c>
      <c r="C313" s="5" t="s">
        <v>24</v>
      </c>
      <c r="D313" s="5" t="s">
        <v>18</v>
      </c>
      <c r="E313" s="5">
        <v>86026.58</v>
      </c>
      <c r="F313" s="5">
        <v>7479</v>
      </c>
      <c r="G313" s="5">
        <v>0.14199999999999999</v>
      </c>
      <c r="H313" s="5">
        <v>20</v>
      </c>
      <c r="I313" s="5">
        <v>89</v>
      </c>
      <c r="J313" s="5">
        <v>0.9</v>
      </c>
      <c r="K313" s="5">
        <v>0</v>
      </c>
      <c r="L313" s="5"/>
      <c r="M313" s="5">
        <v>771129.07</v>
      </c>
      <c r="N313" s="5">
        <v>116851.13</v>
      </c>
    </row>
    <row r="314" spans="1:14">
      <c r="A314" s="5" t="s">
        <v>100</v>
      </c>
      <c r="B314" s="6">
        <v>45658</v>
      </c>
      <c r="C314" s="5" t="s">
        <v>20</v>
      </c>
      <c r="D314" s="5" t="s">
        <v>16</v>
      </c>
      <c r="E314" s="5">
        <v>78967.520000000004</v>
      </c>
      <c r="F314" s="5">
        <v>6164</v>
      </c>
      <c r="G314" s="5">
        <v>2.1000000000000001E-2</v>
      </c>
      <c r="H314" s="5">
        <v>16</v>
      </c>
      <c r="I314" s="5">
        <v>85.5</v>
      </c>
      <c r="J314" s="5">
        <v>0.2</v>
      </c>
      <c r="K314" s="5">
        <v>0</v>
      </c>
      <c r="L314" s="5">
        <v>3.4</v>
      </c>
      <c r="M314" s="5">
        <v>702052.47</v>
      </c>
      <c r="N314" s="5">
        <v>121732.51</v>
      </c>
    </row>
    <row r="315" spans="1:14">
      <c r="A315" s="5" t="s">
        <v>100</v>
      </c>
      <c r="B315" s="6">
        <v>45689</v>
      </c>
      <c r="C315" s="5" t="s">
        <v>20</v>
      </c>
      <c r="D315" s="5" t="s">
        <v>16</v>
      </c>
      <c r="E315" s="5">
        <v>46767.99</v>
      </c>
      <c r="F315" s="5">
        <v>7973</v>
      </c>
      <c r="G315" s="5">
        <v>0.183</v>
      </c>
      <c r="H315" s="5">
        <v>18</v>
      </c>
      <c r="I315" s="5">
        <v>94.8</v>
      </c>
      <c r="J315" s="5">
        <v>4.67</v>
      </c>
      <c r="K315" s="5">
        <v>0</v>
      </c>
      <c r="L315" s="5"/>
      <c r="M315" s="5">
        <v>688368.46</v>
      </c>
      <c r="N315" s="5">
        <v>93588.42</v>
      </c>
    </row>
    <row r="316" spans="1:14">
      <c r="A316" s="5" t="s">
        <v>100</v>
      </c>
      <c r="B316" s="6">
        <v>45717</v>
      </c>
      <c r="C316" s="5" t="s">
        <v>20</v>
      </c>
      <c r="D316" s="5" t="s">
        <v>16</v>
      </c>
      <c r="E316" s="5">
        <v>62507.16</v>
      </c>
      <c r="F316" s="5">
        <v>6000</v>
      </c>
      <c r="G316" s="5">
        <v>9.0999999999999998E-2</v>
      </c>
      <c r="H316" s="5">
        <v>14</v>
      </c>
      <c r="I316" s="5">
        <v>98.2</v>
      </c>
      <c r="J316" s="5">
        <v>4.38</v>
      </c>
      <c r="K316" s="5">
        <v>1</v>
      </c>
      <c r="L316" s="5">
        <v>3.9</v>
      </c>
      <c r="M316" s="5">
        <v>712375.77</v>
      </c>
      <c r="N316" s="5">
        <v>104171.53</v>
      </c>
    </row>
    <row r="317" spans="1:14">
      <c r="A317" s="5" t="s">
        <v>100</v>
      </c>
      <c r="B317" s="6">
        <v>45748</v>
      </c>
      <c r="C317" s="5" t="s">
        <v>20</v>
      </c>
      <c r="D317" s="5" t="s">
        <v>16</v>
      </c>
      <c r="E317" s="5">
        <v>66456.28</v>
      </c>
      <c r="F317" s="5">
        <v>9967</v>
      </c>
      <c r="G317" s="5">
        <v>0.108</v>
      </c>
      <c r="H317" s="5">
        <v>20</v>
      </c>
      <c r="I317" s="5">
        <v>94.7</v>
      </c>
      <c r="J317" s="5">
        <v>4.4800000000000004</v>
      </c>
      <c r="K317" s="5">
        <v>0</v>
      </c>
      <c r="L317" s="5">
        <v>4.2</v>
      </c>
      <c r="M317" s="5">
        <v>844710.67</v>
      </c>
      <c r="N317" s="5">
        <v>137140.18</v>
      </c>
    </row>
    <row r="318" spans="1:14">
      <c r="A318" s="5" t="s">
        <v>101</v>
      </c>
      <c r="B318" s="6">
        <v>45658</v>
      </c>
      <c r="C318" s="5" t="s">
        <v>15</v>
      </c>
      <c r="D318" s="5" t="s">
        <v>16</v>
      </c>
      <c r="E318" s="5">
        <v>76614.320000000007</v>
      </c>
      <c r="F318" s="5">
        <v>5639</v>
      </c>
      <c r="G318" s="5">
        <v>0.17399999999999999</v>
      </c>
      <c r="H318" s="5">
        <v>15</v>
      </c>
      <c r="I318" s="5">
        <v>92.9</v>
      </c>
      <c r="J318" s="5">
        <v>1.02</v>
      </c>
      <c r="K318" s="5">
        <v>1</v>
      </c>
      <c r="L318" s="5">
        <v>4</v>
      </c>
      <c r="M318" s="5">
        <v>620264.19999999995</v>
      </c>
      <c r="N318" s="5">
        <v>91365.64</v>
      </c>
    </row>
    <row r="319" spans="1:14">
      <c r="A319" s="5" t="s">
        <v>101</v>
      </c>
      <c r="B319" s="6">
        <v>45689</v>
      </c>
      <c r="C319" s="5" t="s">
        <v>15</v>
      </c>
      <c r="D319" s="5" t="s">
        <v>16</v>
      </c>
      <c r="E319" s="5">
        <v>24088.06</v>
      </c>
      <c r="F319" s="5">
        <v>3466</v>
      </c>
      <c r="G319" s="5">
        <v>0</v>
      </c>
      <c r="H319" s="5">
        <v>11</v>
      </c>
      <c r="I319" s="5">
        <v>88</v>
      </c>
      <c r="J319" s="5">
        <v>0.2</v>
      </c>
      <c r="K319" s="5">
        <v>0</v>
      </c>
      <c r="L319" s="5">
        <v>3.8</v>
      </c>
      <c r="M319" s="5">
        <v>536845.42000000004</v>
      </c>
      <c r="N319" s="5">
        <v>107473.75</v>
      </c>
    </row>
    <row r="320" spans="1:14">
      <c r="A320" s="5" t="s">
        <v>101</v>
      </c>
      <c r="B320" s="6">
        <v>45717</v>
      </c>
      <c r="C320" s="5" t="s">
        <v>15</v>
      </c>
      <c r="D320" s="5" t="s">
        <v>16</v>
      </c>
      <c r="E320" s="5">
        <v>81902.58</v>
      </c>
      <c r="F320" s="5">
        <v>7775</v>
      </c>
      <c r="G320" s="5">
        <v>0.215</v>
      </c>
      <c r="H320" s="5">
        <v>20</v>
      </c>
      <c r="I320" s="5">
        <v>85.2</v>
      </c>
      <c r="J320" s="5">
        <v>4.8899999999999997</v>
      </c>
      <c r="K320" s="5">
        <v>1</v>
      </c>
      <c r="L320" s="5">
        <v>4.2</v>
      </c>
      <c r="M320" s="5">
        <v>726776.22</v>
      </c>
      <c r="N320" s="5">
        <v>90804.49</v>
      </c>
    </row>
    <row r="321" spans="1:14">
      <c r="A321" s="5" t="s">
        <v>101</v>
      </c>
      <c r="B321" s="6">
        <v>45748</v>
      </c>
      <c r="C321" s="5" t="s">
        <v>15</v>
      </c>
      <c r="D321" s="5" t="s">
        <v>16</v>
      </c>
      <c r="E321" s="5">
        <v>40553.11</v>
      </c>
      <c r="F321" s="5">
        <v>5317</v>
      </c>
      <c r="G321" s="5">
        <v>0.16500000000000001</v>
      </c>
      <c r="H321" s="5">
        <v>17</v>
      </c>
      <c r="I321" s="5">
        <v>84.3</v>
      </c>
      <c r="J321" s="5">
        <v>11.82</v>
      </c>
      <c r="K321" s="5">
        <v>0</v>
      </c>
      <c r="L321" s="5">
        <v>4.0999999999999996</v>
      </c>
      <c r="M321" s="5">
        <v>559660.84</v>
      </c>
      <c r="N321" s="5">
        <v>71443.61</v>
      </c>
    </row>
  </sheetData>
  <autoFilter ref="A1:N32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K17" sqref="K17"/>
    </sheetView>
  </sheetViews>
  <sheetFormatPr defaultRowHeight="15"/>
  <sheetData>
    <row r="1" spans="1:9">
      <c r="A1" t="s">
        <v>105</v>
      </c>
    </row>
    <row r="2" spans="1:9" ht="15.75" thickBot="1"/>
    <row r="3" spans="1:9">
      <c r="A3" s="11" t="s">
        <v>106</v>
      </c>
      <c r="B3" s="11"/>
    </row>
    <row r="4" spans="1:9">
      <c r="A4" s="8" t="s">
        <v>107</v>
      </c>
      <c r="B4" s="8">
        <v>0.67655800852696135</v>
      </c>
    </row>
    <row r="5" spans="1:9">
      <c r="A5" s="8" t="s">
        <v>108</v>
      </c>
      <c r="B5" s="8">
        <v>0.45773073890196786</v>
      </c>
    </row>
    <row r="6" spans="1:9">
      <c r="A6" s="8" t="s">
        <v>109</v>
      </c>
      <c r="B6" s="8">
        <v>0.45084478003088174</v>
      </c>
    </row>
    <row r="7" spans="1:9">
      <c r="A7" s="8" t="s">
        <v>110</v>
      </c>
      <c r="B7" s="8">
        <v>20782.135379204803</v>
      </c>
    </row>
    <row r="8" spans="1:9" ht="15.75" thickBot="1">
      <c r="A8" s="9" t="s">
        <v>111</v>
      </c>
      <c r="B8" s="9">
        <v>320</v>
      </c>
    </row>
    <row r="10" spans="1:9" ht="15.75" thickBot="1">
      <c r="A10" t="s">
        <v>112</v>
      </c>
    </row>
    <row r="11" spans="1:9">
      <c r="A11" s="10"/>
      <c r="B11" s="10" t="s">
        <v>117</v>
      </c>
      <c r="C11" s="10" t="s">
        <v>118</v>
      </c>
      <c r="D11" s="10" t="s">
        <v>119</v>
      </c>
      <c r="E11" s="10" t="s">
        <v>120</v>
      </c>
      <c r="F11" s="10" t="s">
        <v>121</v>
      </c>
    </row>
    <row r="12" spans="1:9">
      <c r="A12" s="8" t="s">
        <v>113</v>
      </c>
      <c r="B12" s="8">
        <v>4</v>
      </c>
      <c r="C12" s="8">
        <v>114838096318.10901</v>
      </c>
      <c r="D12" s="8">
        <v>28709524079.527252</v>
      </c>
      <c r="E12" s="8">
        <v>66.47305734339507</v>
      </c>
      <c r="F12" s="8">
        <v>1.0063146356132366E-40</v>
      </c>
    </row>
    <row r="13" spans="1:9">
      <c r="A13" s="8" t="s">
        <v>114</v>
      </c>
      <c r="B13" s="8">
        <v>315</v>
      </c>
      <c r="C13" s="8">
        <v>136047602539.6727</v>
      </c>
      <c r="D13" s="8">
        <v>431897150.9195959</v>
      </c>
      <c r="E13" s="8"/>
      <c r="F13" s="8"/>
    </row>
    <row r="14" spans="1:9" ht="15.75" thickBot="1">
      <c r="A14" s="9" t="s">
        <v>115</v>
      </c>
      <c r="B14" s="9">
        <v>319</v>
      </c>
      <c r="C14" s="9">
        <v>250885698857.78171</v>
      </c>
      <c r="D14" s="9"/>
      <c r="E14" s="9"/>
      <c r="F14" s="9"/>
    </row>
    <row r="15" spans="1:9" ht="15.75" thickBot="1"/>
    <row r="16" spans="1:9">
      <c r="A16" s="10"/>
      <c r="B16" s="10" t="s">
        <v>122</v>
      </c>
      <c r="C16" s="10" t="s">
        <v>110</v>
      </c>
      <c r="D16" s="10" t="s">
        <v>123</v>
      </c>
      <c r="E16" s="10" t="s">
        <v>124</v>
      </c>
      <c r="F16" s="10" t="s">
        <v>125</v>
      </c>
      <c r="G16" s="10" t="s">
        <v>126</v>
      </c>
      <c r="H16" s="10" t="s">
        <v>127</v>
      </c>
      <c r="I16" s="10" t="s">
        <v>128</v>
      </c>
    </row>
    <row r="17" spans="1:9">
      <c r="A17" s="8" t="s">
        <v>116</v>
      </c>
      <c r="B17" s="8">
        <v>-80484.096398154375</v>
      </c>
      <c r="C17" s="8">
        <v>19852.413016827766</v>
      </c>
      <c r="D17" s="8">
        <v>-4.0541215987161143</v>
      </c>
      <c r="E17" s="8">
        <v>6.3471012901176048E-5</v>
      </c>
      <c r="F17" s="8">
        <v>-119544.18616960327</v>
      </c>
      <c r="G17" s="8">
        <v>-41424.006626705479</v>
      </c>
      <c r="H17" s="8">
        <v>-119544.18616960327</v>
      </c>
      <c r="I17" s="8">
        <v>-41424.006626705479</v>
      </c>
    </row>
    <row r="18" spans="1:9">
      <c r="A18" s="8" t="s">
        <v>4</v>
      </c>
      <c r="B18" s="8">
        <v>0.19432750233587917</v>
      </c>
      <c r="C18" s="8">
        <v>6.0115780135999747E-2</v>
      </c>
      <c r="D18" s="8">
        <v>3.2325539466717834</v>
      </c>
      <c r="E18" s="8">
        <v>1.3568303830200305E-3</v>
      </c>
      <c r="F18" s="8">
        <v>7.6048290292362875E-2</v>
      </c>
      <c r="G18" s="8">
        <v>0.31260671437939547</v>
      </c>
      <c r="H18" s="8">
        <v>7.6048290292362875E-2</v>
      </c>
      <c r="I18" s="8">
        <v>0.31260671437939547</v>
      </c>
    </row>
    <row r="19" spans="1:9">
      <c r="A19" s="8" t="s">
        <v>5</v>
      </c>
      <c r="B19" s="8">
        <v>6.3912916593654145</v>
      </c>
      <c r="C19" s="8">
        <v>0.47973362193113461</v>
      </c>
      <c r="D19" s="8">
        <v>13.322584382636578</v>
      </c>
      <c r="E19" s="8">
        <v>2.008154956446747E-32</v>
      </c>
      <c r="F19" s="8">
        <v>5.4474044692727581</v>
      </c>
      <c r="G19" s="8">
        <v>7.335178849458071</v>
      </c>
      <c r="H19" s="8">
        <v>5.4474044692727581</v>
      </c>
      <c r="I19" s="8">
        <v>7.335178849458071</v>
      </c>
    </row>
    <row r="20" spans="1:9">
      <c r="A20" s="8" t="s">
        <v>8</v>
      </c>
      <c r="B20" s="8">
        <v>1576.1331304175437</v>
      </c>
      <c r="C20" s="8">
        <v>217.43637114979094</v>
      </c>
      <c r="D20" s="8">
        <v>7.2487096895659313</v>
      </c>
      <c r="E20" s="8">
        <v>3.2711836746144631E-12</v>
      </c>
      <c r="F20" s="8">
        <v>1148.3219535349244</v>
      </c>
      <c r="G20" s="8">
        <v>2003.944307300163</v>
      </c>
      <c r="H20" s="8">
        <v>1148.3219535349244</v>
      </c>
      <c r="I20" s="8">
        <v>2003.944307300163</v>
      </c>
    </row>
    <row r="21" spans="1:9" ht="15.75" thickBot="1">
      <c r="A21" s="9" t="s">
        <v>102</v>
      </c>
      <c r="B21" s="9">
        <v>0</v>
      </c>
      <c r="C21" s="9">
        <v>0</v>
      </c>
      <c r="D21" s="9">
        <v>65535</v>
      </c>
      <c r="E21" s="9" t="e">
        <v>#NUM!</v>
      </c>
      <c r="F21" s="9">
        <v>0</v>
      </c>
      <c r="G21" s="9">
        <v>0</v>
      </c>
      <c r="H21" s="9">
        <v>0</v>
      </c>
      <c r="I21" s="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8"/>
  <sheetViews>
    <sheetView workbookViewId="0">
      <selection activeCell="D1" sqref="D1:D1048576"/>
    </sheetView>
  </sheetViews>
  <sheetFormatPr defaultRowHeight="15"/>
  <sheetData>
    <row r="1" spans="1:22" ht="60">
      <c r="A1" s="4" t="s">
        <v>0</v>
      </c>
      <c r="B1" s="4" t="s">
        <v>1</v>
      </c>
      <c r="C1" s="4" t="s">
        <v>2</v>
      </c>
      <c r="D1" s="7" t="s">
        <v>102</v>
      </c>
      <c r="E1" s="7" t="s">
        <v>103</v>
      </c>
      <c r="F1" s="7" t="s">
        <v>104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S1" s="4" t="s">
        <v>4</v>
      </c>
      <c r="T1" s="4" t="s">
        <v>5</v>
      </c>
      <c r="U1" s="4" t="s">
        <v>8</v>
      </c>
      <c r="V1" s="7" t="s">
        <v>102</v>
      </c>
    </row>
    <row r="2" spans="1:22">
      <c r="A2" s="5" t="s">
        <v>14</v>
      </c>
      <c r="B2" s="6">
        <v>45658</v>
      </c>
      <c r="C2" s="5" t="s">
        <v>15</v>
      </c>
      <c r="D2" s="5">
        <f>IF(C2="North",1,0)</f>
        <v>0</v>
      </c>
      <c r="E2" s="5">
        <f>IF(C2="South",1,0)</f>
        <v>0</v>
      </c>
      <c r="F2" s="5">
        <f>IF(C2="East",1,0)</f>
        <v>1</v>
      </c>
      <c r="G2" s="5" t="s">
        <v>16</v>
      </c>
      <c r="H2" s="5">
        <v>70389.11</v>
      </c>
      <c r="I2" s="5">
        <v>8302</v>
      </c>
      <c r="J2" s="5">
        <v>4.2000000000000003E-2</v>
      </c>
      <c r="K2" s="5">
        <v>17</v>
      </c>
      <c r="L2" s="5">
        <v>75</v>
      </c>
      <c r="M2" s="5">
        <v>5.28</v>
      </c>
      <c r="N2" s="5">
        <v>1</v>
      </c>
      <c r="O2" s="5">
        <v>3.1</v>
      </c>
      <c r="P2" s="5">
        <v>658832.62</v>
      </c>
      <c r="Q2" s="5">
        <v>84349.93</v>
      </c>
      <c r="S2" s="5">
        <v>70389.11</v>
      </c>
      <c r="T2" s="5">
        <v>8302</v>
      </c>
      <c r="U2" s="5">
        <v>75</v>
      </c>
      <c r="V2" s="5">
        <f>IF(U2="North",1,0)</f>
        <v>0</v>
      </c>
    </row>
    <row r="3" spans="1:22">
      <c r="A3" s="5" t="s">
        <v>14</v>
      </c>
      <c r="B3" s="6">
        <v>45689</v>
      </c>
      <c r="C3" s="5" t="s">
        <v>15</v>
      </c>
      <c r="D3" s="5">
        <f t="shared" ref="D3:D66" si="0">IF(C3="North",1,0)</f>
        <v>0</v>
      </c>
      <c r="E3" s="5">
        <f t="shared" ref="E3:E66" si="1">IF(C3="South",1,0)</f>
        <v>0</v>
      </c>
      <c r="F3" s="5">
        <f t="shared" ref="F3:F66" si="2">IF(C3="East",1,0)</f>
        <v>1</v>
      </c>
      <c r="G3" s="5" t="s">
        <v>16</v>
      </c>
      <c r="H3" s="5">
        <v>43827.89</v>
      </c>
      <c r="I3" s="5">
        <v>8487</v>
      </c>
      <c r="J3" s="5">
        <v>0.16800000000000001</v>
      </c>
      <c r="K3" s="5">
        <v>23</v>
      </c>
      <c r="L3" s="5">
        <v>84.4</v>
      </c>
      <c r="M3" s="5">
        <v>4.3099999999999996</v>
      </c>
      <c r="N3" s="5">
        <v>0</v>
      </c>
      <c r="O3" s="5">
        <v>2.8</v>
      </c>
      <c r="P3" s="5">
        <v>634436</v>
      </c>
      <c r="Q3" s="5">
        <v>106130.54</v>
      </c>
      <c r="S3" s="5">
        <v>43827.89</v>
      </c>
      <c r="T3" s="5">
        <v>8487</v>
      </c>
      <c r="U3" s="5">
        <v>84.4</v>
      </c>
      <c r="V3" s="5">
        <f t="shared" ref="V3:V66" si="3">IF(U3="North",1,0)</f>
        <v>0</v>
      </c>
    </row>
    <row r="4" spans="1:22">
      <c r="A4" s="5" t="s">
        <v>14</v>
      </c>
      <c r="B4" s="6">
        <v>45717</v>
      </c>
      <c r="C4" s="5" t="s">
        <v>15</v>
      </c>
      <c r="D4" s="5">
        <f t="shared" si="0"/>
        <v>0</v>
      </c>
      <c r="E4" s="5">
        <f t="shared" si="1"/>
        <v>0</v>
      </c>
      <c r="F4" s="5">
        <f t="shared" si="2"/>
        <v>1</v>
      </c>
      <c r="G4" s="5" t="s">
        <v>16</v>
      </c>
      <c r="H4" s="5">
        <v>59921.75</v>
      </c>
      <c r="I4" s="5">
        <v>9113</v>
      </c>
      <c r="J4" s="5">
        <v>0.13300000000000001</v>
      </c>
      <c r="K4" s="5">
        <v>20</v>
      </c>
      <c r="L4" s="5">
        <v>88</v>
      </c>
      <c r="M4" s="5">
        <v>12</v>
      </c>
      <c r="N4" s="5">
        <v>0</v>
      </c>
      <c r="O4" s="5">
        <v>3.2</v>
      </c>
      <c r="P4" s="5">
        <v>678722.06</v>
      </c>
      <c r="Q4" s="5">
        <v>101883.86</v>
      </c>
      <c r="S4" s="5">
        <v>59921.75</v>
      </c>
      <c r="T4" s="5">
        <v>9113</v>
      </c>
      <c r="U4" s="5">
        <v>88</v>
      </c>
      <c r="V4" s="5">
        <f t="shared" si="3"/>
        <v>0</v>
      </c>
    </row>
    <row r="5" spans="1:22">
      <c r="A5" s="5" t="s">
        <v>14</v>
      </c>
      <c r="B5" s="6">
        <v>45748</v>
      </c>
      <c r="C5" s="5" t="s">
        <v>15</v>
      </c>
      <c r="D5" s="5">
        <f t="shared" si="0"/>
        <v>0</v>
      </c>
      <c r="E5" s="5">
        <f t="shared" si="1"/>
        <v>0</v>
      </c>
      <c r="F5" s="5">
        <f t="shared" si="2"/>
        <v>1</v>
      </c>
      <c r="G5" s="5" t="s">
        <v>16</v>
      </c>
      <c r="H5" s="5">
        <v>56856.63</v>
      </c>
      <c r="I5" s="5">
        <v>9431</v>
      </c>
      <c r="J5" s="5">
        <v>0.14199999999999999</v>
      </c>
      <c r="K5" s="5">
        <v>23</v>
      </c>
      <c r="L5" s="5">
        <v>86.9</v>
      </c>
      <c r="M5" s="5">
        <v>4.97</v>
      </c>
      <c r="N5" s="5">
        <v>0</v>
      </c>
      <c r="O5" s="5">
        <v>3.4</v>
      </c>
      <c r="P5" s="5">
        <v>658920.30000000005</v>
      </c>
      <c r="Q5" s="5">
        <v>97910.37</v>
      </c>
      <c r="S5" s="5">
        <v>56856.63</v>
      </c>
      <c r="T5" s="5">
        <v>9431</v>
      </c>
      <c r="U5" s="5">
        <v>86.9</v>
      </c>
      <c r="V5" s="5">
        <f t="shared" si="3"/>
        <v>0</v>
      </c>
    </row>
    <row r="6" spans="1:22">
      <c r="A6" s="5" t="s">
        <v>17</v>
      </c>
      <c r="B6" s="6">
        <v>45658</v>
      </c>
      <c r="C6" s="5" t="s">
        <v>15</v>
      </c>
      <c r="D6" s="5">
        <f t="shared" si="0"/>
        <v>0</v>
      </c>
      <c r="E6" s="5">
        <f t="shared" si="1"/>
        <v>0</v>
      </c>
      <c r="F6" s="5">
        <f t="shared" si="2"/>
        <v>1</v>
      </c>
      <c r="G6" s="5" t="s">
        <v>18</v>
      </c>
      <c r="H6" s="5">
        <v>48412.639999999999</v>
      </c>
      <c r="I6" s="5">
        <v>9545</v>
      </c>
      <c r="J6" s="5">
        <v>0.23100000000000001</v>
      </c>
      <c r="K6" s="5">
        <v>21</v>
      </c>
      <c r="L6" s="5">
        <v>97.6</v>
      </c>
      <c r="M6" s="5">
        <v>6.94</v>
      </c>
      <c r="N6" s="5">
        <v>1</v>
      </c>
      <c r="O6" s="5">
        <v>4.2</v>
      </c>
      <c r="P6" s="5">
        <v>741341.44</v>
      </c>
      <c r="Q6" s="5">
        <v>119208.17</v>
      </c>
      <c r="S6" s="5">
        <v>48412.639999999999</v>
      </c>
      <c r="T6" s="5">
        <v>9545</v>
      </c>
      <c r="U6" s="5">
        <v>97.6</v>
      </c>
      <c r="V6" s="5">
        <f t="shared" si="3"/>
        <v>0</v>
      </c>
    </row>
    <row r="7" spans="1:22">
      <c r="A7" s="5" t="s">
        <v>17</v>
      </c>
      <c r="B7" s="6">
        <v>45689</v>
      </c>
      <c r="C7" s="5" t="s">
        <v>15</v>
      </c>
      <c r="D7" s="5">
        <f t="shared" si="0"/>
        <v>0</v>
      </c>
      <c r="E7" s="5">
        <f t="shared" si="1"/>
        <v>0</v>
      </c>
      <c r="F7" s="5">
        <f t="shared" si="2"/>
        <v>1</v>
      </c>
      <c r="G7" s="5" t="s">
        <v>18</v>
      </c>
      <c r="H7" s="5">
        <v>64811.21</v>
      </c>
      <c r="I7" s="5">
        <v>9792</v>
      </c>
      <c r="J7" s="5">
        <v>0.112</v>
      </c>
      <c r="K7" s="5">
        <v>20</v>
      </c>
      <c r="L7" s="5">
        <v>84.2</v>
      </c>
      <c r="M7" s="5">
        <v>2.88</v>
      </c>
      <c r="N7" s="5">
        <v>0</v>
      </c>
      <c r="O7" s="5">
        <v>4.2</v>
      </c>
      <c r="P7" s="5">
        <v>761835.34</v>
      </c>
      <c r="Q7" s="5">
        <v>149602.23000000001</v>
      </c>
      <c r="S7" s="5">
        <v>64811.21</v>
      </c>
      <c r="T7" s="5">
        <v>9792</v>
      </c>
      <c r="U7" s="5">
        <v>84.2</v>
      </c>
      <c r="V7" s="5">
        <f t="shared" si="3"/>
        <v>0</v>
      </c>
    </row>
    <row r="8" spans="1:22">
      <c r="A8" s="5" t="s">
        <v>17</v>
      </c>
      <c r="B8" s="6">
        <v>45717</v>
      </c>
      <c r="C8" s="5" t="s">
        <v>15</v>
      </c>
      <c r="D8" s="5">
        <f t="shared" si="0"/>
        <v>0</v>
      </c>
      <c r="E8" s="5">
        <f t="shared" si="1"/>
        <v>0</v>
      </c>
      <c r="F8" s="5">
        <f t="shared" si="2"/>
        <v>1</v>
      </c>
      <c r="G8" s="5" t="s">
        <v>18</v>
      </c>
      <c r="H8" s="5">
        <v>46213.45</v>
      </c>
      <c r="I8" s="5">
        <v>10616</v>
      </c>
      <c r="J8" s="5">
        <v>0.122</v>
      </c>
      <c r="K8" s="5">
        <v>22</v>
      </c>
      <c r="L8" s="5">
        <v>85.2</v>
      </c>
      <c r="M8" s="5">
        <v>0.2</v>
      </c>
      <c r="N8" s="5">
        <v>1</v>
      </c>
      <c r="O8" s="5">
        <v>4.0999999999999996</v>
      </c>
      <c r="P8" s="5">
        <v>806615.54</v>
      </c>
      <c r="Q8" s="5">
        <v>131364.62</v>
      </c>
      <c r="S8" s="5">
        <v>46213.45</v>
      </c>
      <c r="T8" s="5">
        <v>10616</v>
      </c>
      <c r="U8" s="5">
        <v>85.2</v>
      </c>
      <c r="V8" s="5">
        <f t="shared" si="3"/>
        <v>0</v>
      </c>
    </row>
    <row r="9" spans="1:22">
      <c r="A9" s="5" t="s">
        <v>17</v>
      </c>
      <c r="B9" s="6">
        <v>45748</v>
      </c>
      <c r="C9" s="5" t="s">
        <v>15</v>
      </c>
      <c r="D9" s="5">
        <f t="shared" si="0"/>
        <v>0</v>
      </c>
      <c r="E9" s="5">
        <f t="shared" si="1"/>
        <v>0</v>
      </c>
      <c r="F9" s="5">
        <f t="shared" si="2"/>
        <v>1</v>
      </c>
      <c r="G9" s="5" t="s">
        <v>18</v>
      </c>
      <c r="H9" s="5">
        <v>68148.52</v>
      </c>
      <c r="I9" s="5">
        <v>8567</v>
      </c>
      <c r="J9" s="5">
        <v>0.127</v>
      </c>
      <c r="K9" s="5">
        <v>23</v>
      </c>
      <c r="L9" s="5">
        <v>95.6</v>
      </c>
      <c r="M9" s="5">
        <v>0.8</v>
      </c>
      <c r="N9" s="5">
        <v>0</v>
      </c>
      <c r="O9" s="5">
        <v>3.9</v>
      </c>
      <c r="P9" s="5">
        <v>850164.26</v>
      </c>
      <c r="Q9" s="5">
        <v>149262.75</v>
      </c>
      <c r="S9" s="5">
        <v>68148.52</v>
      </c>
      <c r="T9" s="5">
        <v>8567</v>
      </c>
      <c r="U9" s="5">
        <v>95.6</v>
      </c>
      <c r="V9" s="5">
        <f t="shared" si="3"/>
        <v>0</v>
      </c>
    </row>
    <row r="10" spans="1:22">
      <c r="A10" s="5" t="s">
        <v>19</v>
      </c>
      <c r="B10" s="6">
        <v>45658</v>
      </c>
      <c r="C10" s="5" t="s">
        <v>20</v>
      </c>
      <c r="D10" s="5">
        <f t="shared" si="0"/>
        <v>1</v>
      </c>
      <c r="E10" s="5">
        <f t="shared" si="1"/>
        <v>0</v>
      </c>
      <c r="F10" s="5">
        <f t="shared" si="2"/>
        <v>0</v>
      </c>
      <c r="G10" s="5" t="s">
        <v>21</v>
      </c>
      <c r="H10" s="5">
        <v>71838.86</v>
      </c>
      <c r="I10" s="5">
        <v>10979</v>
      </c>
      <c r="J10" s="5">
        <v>0.215</v>
      </c>
      <c r="K10" s="5">
        <v>26</v>
      </c>
      <c r="L10" s="5">
        <v>88.6</v>
      </c>
      <c r="M10" s="5">
        <v>7.7</v>
      </c>
      <c r="N10" s="5">
        <v>1</v>
      </c>
      <c r="O10" s="5">
        <v>3.8</v>
      </c>
      <c r="P10" s="5">
        <v>930581.7</v>
      </c>
      <c r="Q10" s="5">
        <v>136207.98000000001</v>
      </c>
      <c r="S10" s="5">
        <v>71838.86</v>
      </c>
      <c r="T10" s="5">
        <v>10979</v>
      </c>
      <c r="U10" s="5">
        <v>88.6</v>
      </c>
      <c r="V10" s="5">
        <f t="shared" si="3"/>
        <v>0</v>
      </c>
    </row>
    <row r="11" spans="1:22">
      <c r="A11" s="5" t="s">
        <v>19</v>
      </c>
      <c r="B11" s="6">
        <v>45689</v>
      </c>
      <c r="C11" s="5" t="s">
        <v>20</v>
      </c>
      <c r="D11" s="5">
        <f t="shared" si="0"/>
        <v>1</v>
      </c>
      <c r="E11" s="5">
        <f t="shared" si="1"/>
        <v>0</v>
      </c>
      <c r="F11" s="5">
        <f t="shared" si="2"/>
        <v>0</v>
      </c>
      <c r="G11" s="5" t="s">
        <v>21</v>
      </c>
      <c r="H11" s="5">
        <v>68133.440000000002</v>
      </c>
      <c r="I11" s="5">
        <v>9459</v>
      </c>
      <c r="J11" s="5">
        <v>0.22</v>
      </c>
      <c r="K11" s="5">
        <v>21</v>
      </c>
      <c r="L11" s="5">
        <v>85</v>
      </c>
      <c r="M11" s="5">
        <v>1.91</v>
      </c>
      <c r="N11" s="5">
        <v>0</v>
      </c>
      <c r="O11" s="5">
        <v>4.2</v>
      </c>
      <c r="P11" s="5">
        <v>779010.94</v>
      </c>
      <c r="Q11" s="5">
        <v>106328.09</v>
      </c>
      <c r="S11" s="5">
        <v>68133.440000000002</v>
      </c>
      <c r="T11" s="5">
        <v>9459</v>
      </c>
      <c r="U11" s="5">
        <v>85</v>
      </c>
      <c r="V11" s="5">
        <f t="shared" si="3"/>
        <v>0</v>
      </c>
    </row>
    <row r="12" spans="1:22">
      <c r="A12" s="5" t="s">
        <v>19</v>
      </c>
      <c r="B12" s="6">
        <v>45717</v>
      </c>
      <c r="C12" s="5" t="s">
        <v>20</v>
      </c>
      <c r="D12" s="5">
        <f t="shared" si="0"/>
        <v>1</v>
      </c>
      <c r="E12" s="5">
        <f t="shared" si="1"/>
        <v>0</v>
      </c>
      <c r="F12" s="5">
        <f t="shared" si="2"/>
        <v>0</v>
      </c>
      <c r="G12" s="5" t="s">
        <v>21</v>
      </c>
      <c r="H12" s="5">
        <v>34285.21</v>
      </c>
      <c r="I12" s="5">
        <v>9172</v>
      </c>
      <c r="J12" s="5">
        <v>0.21299999999999999</v>
      </c>
      <c r="K12" s="5">
        <v>22</v>
      </c>
      <c r="L12" s="5">
        <v>88.3</v>
      </c>
      <c r="M12" s="5">
        <v>10.46</v>
      </c>
      <c r="N12" s="5">
        <v>1</v>
      </c>
      <c r="O12" s="5">
        <v>3.8</v>
      </c>
      <c r="P12" s="5">
        <v>723060.76</v>
      </c>
      <c r="Q12" s="5">
        <v>123131.24</v>
      </c>
      <c r="S12" s="5">
        <v>34285.21</v>
      </c>
      <c r="T12" s="5">
        <v>9172</v>
      </c>
      <c r="U12" s="5">
        <v>88.3</v>
      </c>
      <c r="V12" s="5">
        <f t="shared" si="3"/>
        <v>0</v>
      </c>
    </row>
    <row r="13" spans="1:22">
      <c r="A13" s="5" t="s">
        <v>19</v>
      </c>
      <c r="B13" s="6">
        <v>45748</v>
      </c>
      <c r="C13" s="5" t="s">
        <v>20</v>
      </c>
      <c r="D13" s="5">
        <f t="shared" si="0"/>
        <v>1</v>
      </c>
      <c r="E13" s="5">
        <f t="shared" si="1"/>
        <v>0</v>
      </c>
      <c r="F13" s="5">
        <f t="shared" si="2"/>
        <v>0</v>
      </c>
      <c r="G13" s="5" t="s">
        <v>21</v>
      </c>
      <c r="H13" s="5">
        <v>67979.88</v>
      </c>
      <c r="I13" s="5">
        <v>11230</v>
      </c>
      <c r="J13" s="5">
        <v>2E-3</v>
      </c>
      <c r="K13" s="5">
        <v>28</v>
      </c>
      <c r="L13" s="5">
        <v>85.3</v>
      </c>
      <c r="M13" s="5">
        <v>7.16</v>
      </c>
      <c r="N13" s="5">
        <v>0</v>
      </c>
      <c r="O13" s="5">
        <v>3.8</v>
      </c>
      <c r="P13" s="5">
        <v>910791.94</v>
      </c>
      <c r="Q13" s="5">
        <v>158891.28</v>
      </c>
      <c r="S13" s="5">
        <v>67979.88</v>
      </c>
      <c r="T13" s="5">
        <v>11230</v>
      </c>
      <c r="U13" s="5">
        <v>85.3</v>
      </c>
      <c r="V13" s="5">
        <f t="shared" si="3"/>
        <v>0</v>
      </c>
    </row>
    <row r="14" spans="1:22">
      <c r="A14" s="5" t="s">
        <v>22</v>
      </c>
      <c r="B14" s="6">
        <v>45658</v>
      </c>
      <c r="C14" s="5" t="s">
        <v>15</v>
      </c>
      <c r="D14" s="5">
        <f t="shared" si="0"/>
        <v>0</v>
      </c>
      <c r="E14" s="5">
        <f t="shared" si="1"/>
        <v>0</v>
      </c>
      <c r="F14" s="5">
        <f t="shared" si="2"/>
        <v>1</v>
      </c>
      <c r="G14" s="5" t="s">
        <v>16</v>
      </c>
      <c r="H14" s="5">
        <v>71828.259999999995</v>
      </c>
      <c r="I14" s="5">
        <v>12775</v>
      </c>
      <c r="J14" s="5">
        <v>0.11600000000000001</v>
      </c>
      <c r="K14" s="5">
        <v>30</v>
      </c>
      <c r="L14" s="5">
        <v>81.7</v>
      </c>
      <c r="M14" s="5">
        <v>4.24</v>
      </c>
      <c r="N14" s="5">
        <v>1</v>
      </c>
      <c r="O14" s="5">
        <v>4.2</v>
      </c>
      <c r="P14" s="5">
        <v>922168.6</v>
      </c>
      <c r="Q14" s="5">
        <v>107494.53</v>
      </c>
      <c r="S14" s="5">
        <v>71828.259999999995</v>
      </c>
      <c r="T14" s="5">
        <v>12775</v>
      </c>
      <c r="U14" s="5">
        <v>81.7</v>
      </c>
      <c r="V14" s="5">
        <f t="shared" si="3"/>
        <v>0</v>
      </c>
    </row>
    <row r="15" spans="1:22">
      <c r="A15" s="5" t="s">
        <v>22</v>
      </c>
      <c r="B15" s="6">
        <v>45689</v>
      </c>
      <c r="C15" s="5" t="s">
        <v>15</v>
      </c>
      <c r="D15" s="5">
        <f t="shared" si="0"/>
        <v>0</v>
      </c>
      <c r="E15" s="5">
        <f t="shared" si="1"/>
        <v>0</v>
      </c>
      <c r="F15" s="5">
        <f t="shared" si="2"/>
        <v>1</v>
      </c>
      <c r="G15" s="5" t="s">
        <v>16</v>
      </c>
      <c r="H15" s="5">
        <v>55716.82</v>
      </c>
      <c r="I15" s="5">
        <v>10054</v>
      </c>
      <c r="J15" s="5">
        <v>0.14599999999999999</v>
      </c>
      <c r="K15" s="5">
        <v>24</v>
      </c>
      <c r="L15" s="5">
        <v>84.9</v>
      </c>
      <c r="M15" s="5">
        <v>1.06</v>
      </c>
      <c r="N15" s="5">
        <v>0</v>
      </c>
      <c r="O15" s="5">
        <v>4.3</v>
      </c>
      <c r="P15" s="5">
        <v>726606.28</v>
      </c>
      <c r="Q15" s="5">
        <v>122729.29</v>
      </c>
      <c r="S15" s="5">
        <v>55716.82</v>
      </c>
      <c r="T15" s="5">
        <v>10054</v>
      </c>
      <c r="U15" s="5">
        <v>84.9</v>
      </c>
      <c r="V15" s="5">
        <f t="shared" si="3"/>
        <v>0</v>
      </c>
    </row>
    <row r="16" spans="1:22">
      <c r="A16" s="5" t="s">
        <v>22</v>
      </c>
      <c r="B16" s="6">
        <v>45717</v>
      </c>
      <c r="C16" s="5" t="s">
        <v>15</v>
      </c>
      <c r="D16" s="5">
        <f t="shared" si="0"/>
        <v>0</v>
      </c>
      <c r="E16" s="5">
        <f t="shared" si="1"/>
        <v>0</v>
      </c>
      <c r="F16" s="5">
        <f t="shared" si="2"/>
        <v>1</v>
      </c>
      <c r="G16" s="5" t="s">
        <v>16</v>
      </c>
      <c r="H16" s="5">
        <v>59909.51</v>
      </c>
      <c r="I16" s="5">
        <v>8895</v>
      </c>
      <c r="J16" s="5">
        <v>0.22800000000000001</v>
      </c>
      <c r="K16" s="5">
        <v>23</v>
      </c>
      <c r="L16" s="5">
        <v>88.8</v>
      </c>
      <c r="M16" s="5">
        <v>0.27</v>
      </c>
      <c r="N16" s="5">
        <v>0</v>
      </c>
      <c r="O16" s="5">
        <v>4.3</v>
      </c>
      <c r="P16" s="5">
        <v>746501.09</v>
      </c>
      <c r="Q16" s="5">
        <v>136816.72</v>
      </c>
      <c r="S16" s="5">
        <v>59909.51</v>
      </c>
      <c r="T16" s="5">
        <v>8895</v>
      </c>
      <c r="U16" s="5">
        <v>88.8</v>
      </c>
      <c r="V16" s="5">
        <f t="shared" si="3"/>
        <v>0</v>
      </c>
    </row>
    <row r="17" spans="1:22">
      <c r="A17" s="5" t="s">
        <v>22</v>
      </c>
      <c r="B17" s="6">
        <v>45748</v>
      </c>
      <c r="C17" s="5" t="s">
        <v>15</v>
      </c>
      <c r="D17" s="5">
        <f t="shared" si="0"/>
        <v>0</v>
      </c>
      <c r="E17" s="5">
        <f t="shared" si="1"/>
        <v>0</v>
      </c>
      <c r="F17" s="5">
        <f t="shared" si="2"/>
        <v>1</v>
      </c>
      <c r="G17" s="5" t="s">
        <v>16</v>
      </c>
      <c r="H17" s="5">
        <v>75305.710000000006</v>
      </c>
      <c r="I17" s="5">
        <v>10940</v>
      </c>
      <c r="J17" s="5">
        <v>6.0000000000000001E-3</v>
      </c>
      <c r="K17" s="5">
        <v>26</v>
      </c>
      <c r="L17" s="5">
        <v>76.5</v>
      </c>
      <c r="M17" s="5">
        <v>1.32</v>
      </c>
      <c r="N17" s="5">
        <v>0</v>
      </c>
      <c r="O17" s="5">
        <v>4.5</v>
      </c>
      <c r="P17" s="5">
        <v>834017.02</v>
      </c>
      <c r="Q17" s="5">
        <v>114745.03</v>
      </c>
      <c r="S17" s="5">
        <v>75305.710000000006</v>
      </c>
      <c r="T17" s="5">
        <v>10940</v>
      </c>
      <c r="U17" s="5">
        <v>76.5</v>
      </c>
      <c r="V17" s="5">
        <f t="shared" si="3"/>
        <v>0</v>
      </c>
    </row>
    <row r="18" spans="1:22">
      <c r="A18" s="5" t="s">
        <v>23</v>
      </c>
      <c r="B18" s="6">
        <v>45658</v>
      </c>
      <c r="C18" s="5" t="s">
        <v>24</v>
      </c>
      <c r="D18" s="5">
        <f t="shared" si="0"/>
        <v>0</v>
      </c>
      <c r="E18" s="5">
        <f t="shared" si="1"/>
        <v>1</v>
      </c>
      <c r="F18" s="5">
        <f t="shared" si="2"/>
        <v>0</v>
      </c>
      <c r="G18" s="5" t="s">
        <v>16</v>
      </c>
      <c r="H18" s="5">
        <v>48804.22</v>
      </c>
      <c r="I18" s="5">
        <v>7057</v>
      </c>
      <c r="J18" s="5">
        <v>5.0000000000000001E-3</v>
      </c>
      <c r="K18" s="5">
        <v>15</v>
      </c>
      <c r="L18" s="5">
        <v>87.7</v>
      </c>
      <c r="M18" s="5">
        <v>1.22</v>
      </c>
      <c r="N18" s="5">
        <v>0</v>
      </c>
      <c r="O18" s="5">
        <v>3.7</v>
      </c>
      <c r="P18" s="5">
        <v>666152.52</v>
      </c>
      <c r="Q18" s="5">
        <v>107490.58</v>
      </c>
      <c r="S18" s="5">
        <v>48804.22</v>
      </c>
      <c r="T18" s="5">
        <v>7057</v>
      </c>
      <c r="U18" s="5">
        <v>87.7</v>
      </c>
      <c r="V18" s="5">
        <f t="shared" si="3"/>
        <v>0</v>
      </c>
    </row>
    <row r="19" spans="1:22">
      <c r="A19" s="5" t="s">
        <v>23</v>
      </c>
      <c r="B19" s="6">
        <v>45689</v>
      </c>
      <c r="C19" s="5" t="s">
        <v>24</v>
      </c>
      <c r="D19" s="5">
        <f t="shared" si="0"/>
        <v>0</v>
      </c>
      <c r="E19" s="5">
        <f t="shared" si="1"/>
        <v>1</v>
      </c>
      <c r="F19" s="5">
        <f t="shared" si="2"/>
        <v>0</v>
      </c>
      <c r="G19" s="5" t="s">
        <v>16</v>
      </c>
      <c r="H19" s="5">
        <v>59117.9</v>
      </c>
      <c r="I19" s="5">
        <v>4263</v>
      </c>
      <c r="J19" s="5">
        <v>0.11899999999999999</v>
      </c>
      <c r="K19" s="5">
        <v>9</v>
      </c>
      <c r="L19" s="5">
        <v>87.6</v>
      </c>
      <c r="M19" s="5">
        <v>4.01</v>
      </c>
      <c r="N19" s="5">
        <v>0</v>
      </c>
      <c r="O19" s="5">
        <v>3.6</v>
      </c>
      <c r="P19" s="5">
        <v>573155.18999999994</v>
      </c>
      <c r="Q19" s="5">
        <v>83680.75</v>
      </c>
      <c r="S19" s="5">
        <v>59117.9</v>
      </c>
      <c r="T19" s="5">
        <v>4263</v>
      </c>
      <c r="U19" s="5">
        <v>87.6</v>
      </c>
      <c r="V19" s="5">
        <f t="shared" si="3"/>
        <v>0</v>
      </c>
    </row>
    <row r="20" spans="1:22">
      <c r="A20" s="5" t="s">
        <v>23</v>
      </c>
      <c r="B20" s="6">
        <v>45717</v>
      </c>
      <c r="C20" s="5" t="s">
        <v>24</v>
      </c>
      <c r="D20" s="5">
        <f t="shared" si="0"/>
        <v>0</v>
      </c>
      <c r="E20" s="5">
        <f t="shared" si="1"/>
        <v>1</v>
      </c>
      <c r="F20" s="5">
        <f t="shared" si="2"/>
        <v>0</v>
      </c>
      <c r="G20" s="5" t="s">
        <v>16</v>
      </c>
      <c r="H20" s="5">
        <v>78831.12</v>
      </c>
      <c r="I20" s="5">
        <v>5538</v>
      </c>
      <c r="J20" s="5">
        <v>0</v>
      </c>
      <c r="K20" s="5">
        <v>15</v>
      </c>
      <c r="L20" s="5">
        <v>94.1</v>
      </c>
      <c r="M20" s="5">
        <v>0.2</v>
      </c>
      <c r="N20" s="5">
        <v>0</v>
      </c>
      <c r="O20" s="5">
        <v>3.9</v>
      </c>
      <c r="P20" s="5">
        <v>666573.19999999995</v>
      </c>
      <c r="Q20" s="5">
        <v>140641.01999999999</v>
      </c>
      <c r="S20" s="5">
        <v>78831.12</v>
      </c>
      <c r="T20" s="5">
        <v>5538</v>
      </c>
      <c r="U20" s="5">
        <v>94.1</v>
      </c>
      <c r="V20" s="5">
        <f t="shared" si="3"/>
        <v>0</v>
      </c>
    </row>
    <row r="21" spans="1:22">
      <c r="A21" s="5" t="s">
        <v>23</v>
      </c>
      <c r="B21" s="6">
        <v>45748</v>
      </c>
      <c r="C21" s="5" t="s">
        <v>24</v>
      </c>
      <c r="D21" s="5">
        <f t="shared" si="0"/>
        <v>0</v>
      </c>
      <c r="E21" s="5">
        <f t="shared" si="1"/>
        <v>1</v>
      </c>
      <c r="F21" s="5">
        <f t="shared" si="2"/>
        <v>0</v>
      </c>
      <c r="G21" s="5" t="s">
        <v>16</v>
      </c>
      <c r="H21" s="5">
        <v>41441.93</v>
      </c>
      <c r="I21" s="5">
        <v>4865</v>
      </c>
      <c r="J21" s="5">
        <v>0.158</v>
      </c>
      <c r="K21" s="5">
        <v>16</v>
      </c>
      <c r="L21" s="5">
        <v>88.3</v>
      </c>
      <c r="M21" s="5">
        <v>0.5</v>
      </c>
      <c r="N21" s="5">
        <v>0</v>
      </c>
      <c r="O21" s="5">
        <v>4</v>
      </c>
      <c r="P21" s="5">
        <v>591619.94999999995</v>
      </c>
      <c r="Q21" s="5">
        <v>99521.35</v>
      </c>
      <c r="S21" s="5">
        <v>41441.93</v>
      </c>
      <c r="T21" s="5">
        <v>4865</v>
      </c>
      <c r="U21" s="5">
        <v>88.3</v>
      </c>
      <c r="V21" s="5">
        <f t="shared" si="3"/>
        <v>0</v>
      </c>
    </row>
    <row r="22" spans="1:22">
      <c r="A22" s="5" t="s">
        <v>25</v>
      </c>
      <c r="B22" s="6">
        <v>45658</v>
      </c>
      <c r="C22" s="5" t="s">
        <v>20</v>
      </c>
      <c r="D22" s="5">
        <f t="shared" si="0"/>
        <v>1</v>
      </c>
      <c r="E22" s="5">
        <f t="shared" si="1"/>
        <v>0</v>
      </c>
      <c r="F22" s="5">
        <f t="shared" si="2"/>
        <v>0</v>
      </c>
      <c r="G22" s="5" t="s">
        <v>16</v>
      </c>
      <c r="H22" s="5">
        <v>30356.28</v>
      </c>
      <c r="I22" s="5">
        <v>2822</v>
      </c>
      <c r="J22" s="5">
        <v>0.23100000000000001</v>
      </c>
      <c r="K22" s="5">
        <v>9</v>
      </c>
      <c r="L22" s="5">
        <v>84.8</v>
      </c>
      <c r="M22" s="5">
        <v>6.95</v>
      </c>
      <c r="N22" s="5">
        <v>0</v>
      </c>
      <c r="O22" s="5">
        <v>5</v>
      </c>
      <c r="P22" s="5">
        <v>415721.82</v>
      </c>
      <c r="Q22" s="5">
        <v>61179.15</v>
      </c>
      <c r="S22" s="5">
        <v>30356.28</v>
      </c>
      <c r="T22" s="5">
        <v>2822</v>
      </c>
      <c r="U22" s="5">
        <v>84.8</v>
      </c>
      <c r="V22" s="5">
        <f t="shared" si="3"/>
        <v>0</v>
      </c>
    </row>
    <row r="23" spans="1:22">
      <c r="A23" s="5" t="s">
        <v>25</v>
      </c>
      <c r="B23" s="6">
        <v>45689</v>
      </c>
      <c r="C23" s="5" t="s">
        <v>20</v>
      </c>
      <c r="D23" s="5">
        <f t="shared" si="0"/>
        <v>1</v>
      </c>
      <c r="E23" s="5">
        <f t="shared" si="1"/>
        <v>0</v>
      </c>
      <c r="F23" s="5">
        <f t="shared" si="2"/>
        <v>0</v>
      </c>
      <c r="G23" s="5" t="s">
        <v>16</v>
      </c>
      <c r="H23" s="5">
        <v>33518.879999999997</v>
      </c>
      <c r="I23" s="5">
        <v>2121</v>
      </c>
      <c r="J23" s="5">
        <v>0.17599999999999999</v>
      </c>
      <c r="K23" s="5">
        <v>8</v>
      </c>
      <c r="L23" s="5">
        <v>88.5</v>
      </c>
      <c r="M23" s="5">
        <v>0.2</v>
      </c>
      <c r="N23" s="5">
        <v>0</v>
      </c>
      <c r="O23" s="5">
        <v>5</v>
      </c>
      <c r="P23" s="5">
        <v>491905.13</v>
      </c>
      <c r="Q23" s="5">
        <v>79212.259999999995</v>
      </c>
      <c r="S23" s="5">
        <v>33518.879999999997</v>
      </c>
      <c r="T23" s="5">
        <v>2121</v>
      </c>
      <c r="U23" s="5">
        <v>88.5</v>
      </c>
      <c r="V23" s="5">
        <f t="shared" si="3"/>
        <v>0</v>
      </c>
    </row>
    <row r="24" spans="1:22">
      <c r="A24" s="5" t="s">
        <v>25</v>
      </c>
      <c r="B24" s="6">
        <v>45717</v>
      </c>
      <c r="C24" s="5" t="s">
        <v>20</v>
      </c>
      <c r="D24" s="5">
        <f t="shared" si="0"/>
        <v>1</v>
      </c>
      <c r="E24" s="5">
        <f t="shared" si="1"/>
        <v>0</v>
      </c>
      <c r="F24" s="5">
        <f t="shared" si="2"/>
        <v>0</v>
      </c>
      <c r="G24" s="5" t="s">
        <v>16</v>
      </c>
      <c r="H24" s="5">
        <v>42267.37</v>
      </c>
      <c r="I24" s="5">
        <v>3364</v>
      </c>
      <c r="J24" s="5">
        <v>0.16</v>
      </c>
      <c r="K24" s="5">
        <v>13</v>
      </c>
      <c r="L24" s="5">
        <v>82</v>
      </c>
      <c r="M24" s="5">
        <v>1.61</v>
      </c>
      <c r="N24" s="5">
        <v>1</v>
      </c>
      <c r="O24" s="5">
        <v>4.5999999999999996</v>
      </c>
      <c r="P24" s="5">
        <v>555929.4</v>
      </c>
      <c r="Q24" s="5">
        <v>115201.76</v>
      </c>
      <c r="S24" s="5">
        <v>42267.37</v>
      </c>
      <c r="T24" s="5">
        <v>3364</v>
      </c>
      <c r="U24" s="5">
        <v>82</v>
      </c>
      <c r="V24" s="5">
        <f t="shared" si="3"/>
        <v>0</v>
      </c>
    </row>
    <row r="25" spans="1:22">
      <c r="A25" s="5" t="s">
        <v>25</v>
      </c>
      <c r="B25" s="6">
        <v>45748</v>
      </c>
      <c r="C25" s="5" t="s">
        <v>20</v>
      </c>
      <c r="D25" s="5">
        <f t="shared" si="0"/>
        <v>1</v>
      </c>
      <c r="E25" s="5">
        <f t="shared" si="1"/>
        <v>0</v>
      </c>
      <c r="F25" s="5">
        <f t="shared" si="2"/>
        <v>0</v>
      </c>
      <c r="G25" s="5" t="s">
        <v>16</v>
      </c>
      <c r="H25" s="5">
        <v>62060.43</v>
      </c>
      <c r="I25" s="5">
        <v>2613</v>
      </c>
      <c r="J25" s="5">
        <v>0.216</v>
      </c>
      <c r="K25" s="5">
        <v>12</v>
      </c>
      <c r="L25" s="5">
        <v>92.1</v>
      </c>
      <c r="M25" s="5">
        <v>1.55</v>
      </c>
      <c r="N25" s="5">
        <v>0</v>
      </c>
      <c r="O25" s="5">
        <v>4.7</v>
      </c>
      <c r="P25" s="5">
        <v>565810.99</v>
      </c>
      <c r="Q25" s="5">
        <v>77825.460000000006</v>
      </c>
      <c r="S25" s="5">
        <v>62060.43</v>
      </c>
      <c r="T25" s="5">
        <v>2613</v>
      </c>
      <c r="U25" s="5">
        <v>92.1</v>
      </c>
      <c r="V25" s="5">
        <f t="shared" si="3"/>
        <v>0</v>
      </c>
    </row>
    <row r="26" spans="1:22">
      <c r="A26" s="5" t="s">
        <v>26</v>
      </c>
      <c r="B26" s="6">
        <v>45658</v>
      </c>
      <c r="C26" s="5" t="s">
        <v>27</v>
      </c>
      <c r="D26" s="5">
        <f t="shared" si="0"/>
        <v>0</v>
      </c>
      <c r="E26" s="5">
        <f t="shared" si="1"/>
        <v>0</v>
      </c>
      <c r="F26" s="5">
        <f t="shared" si="2"/>
        <v>0</v>
      </c>
      <c r="G26" s="5" t="s">
        <v>28</v>
      </c>
      <c r="H26" s="5">
        <v>57696.69</v>
      </c>
      <c r="I26" s="5">
        <v>10218</v>
      </c>
      <c r="J26" s="5">
        <v>0.121</v>
      </c>
      <c r="K26" s="5">
        <v>25</v>
      </c>
      <c r="L26" s="5">
        <v>94.8</v>
      </c>
      <c r="M26" s="5">
        <v>2.99</v>
      </c>
      <c r="N26" s="5">
        <v>0</v>
      </c>
      <c r="O26" s="5">
        <v>3.5</v>
      </c>
      <c r="P26" s="5">
        <v>811771.14</v>
      </c>
      <c r="Q26" s="5">
        <v>148756.24</v>
      </c>
      <c r="S26" s="5">
        <v>57696.69</v>
      </c>
      <c r="T26" s="5">
        <v>10218</v>
      </c>
      <c r="U26" s="5">
        <v>94.8</v>
      </c>
      <c r="V26" s="5">
        <f t="shared" si="3"/>
        <v>0</v>
      </c>
    </row>
    <row r="27" spans="1:22">
      <c r="A27" s="5" t="s">
        <v>26</v>
      </c>
      <c r="B27" s="6">
        <v>45689</v>
      </c>
      <c r="C27" s="5" t="s">
        <v>27</v>
      </c>
      <c r="D27" s="5">
        <f t="shared" si="0"/>
        <v>0</v>
      </c>
      <c r="E27" s="5">
        <f t="shared" si="1"/>
        <v>0</v>
      </c>
      <c r="F27" s="5">
        <f t="shared" si="2"/>
        <v>0</v>
      </c>
      <c r="G27" s="5" t="s">
        <v>28</v>
      </c>
      <c r="H27" s="5">
        <v>172415.52</v>
      </c>
      <c r="I27" s="5">
        <v>8927</v>
      </c>
      <c r="J27" s="5">
        <v>0.14000000000000001</v>
      </c>
      <c r="K27" s="5">
        <v>22</v>
      </c>
      <c r="L27" s="5">
        <v>86.2</v>
      </c>
      <c r="M27" s="5">
        <v>7.04</v>
      </c>
      <c r="N27" s="5">
        <v>0</v>
      </c>
      <c r="O27" s="5">
        <v>3.9</v>
      </c>
      <c r="P27" s="5">
        <v>800451.94</v>
      </c>
      <c r="Q27" s="5">
        <v>111572.29</v>
      </c>
      <c r="S27" s="5">
        <v>172415.52</v>
      </c>
      <c r="T27" s="5">
        <v>8927</v>
      </c>
      <c r="U27" s="5">
        <v>86.2</v>
      </c>
      <c r="V27" s="5">
        <f t="shared" si="3"/>
        <v>0</v>
      </c>
    </row>
    <row r="28" spans="1:22">
      <c r="A28" s="5" t="s">
        <v>26</v>
      </c>
      <c r="B28" s="6">
        <v>45717</v>
      </c>
      <c r="C28" s="5" t="s">
        <v>27</v>
      </c>
      <c r="D28" s="5">
        <f t="shared" si="0"/>
        <v>0</v>
      </c>
      <c r="E28" s="5">
        <f t="shared" si="1"/>
        <v>0</v>
      </c>
      <c r="F28" s="5">
        <f t="shared" si="2"/>
        <v>0</v>
      </c>
      <c r="G28" s="5" t="s">
        <v>28</v>
      </c>
      <c r="H28" s="5">
        <v>55270.52</v>
      </c>
      <c r="I28" s="5">
        <v>9315</v>
      </c>
      <c r="J28" s="5">
        <v>0.16900000000000001</v>
      </c>
      <c r="K28" s="5">
        <v>23</v>
      </c>
      <c r="L28" s="5">
        <v>91.9</v>
      </c>
      <c r="M28" s="5">
        <v>4.9400000000000004</v>
      </c>
      <c r="N28" s="5">
        <v>0</v>
      </c>
      <c r="O28" s="5">
        <v>4</v>
      </c>
      <c r="P28" s="5">
        <v>783672.82</v>
      </c>
      <c r="Q28" s="5">
        <v>112577.14</v>
      </c>
      <c r="S28" s="5">
        <v>55270.52</v>
      </c>
      <c r="T28" s="5">
        <v>9315</v>
      </c>
      <c r="U28" s="5">
        <v>91.9</v>
      </c>
      <c r="V28" s="5">
        <f t="shared" si="3"/>
        <v>0</v>
      </c>
    </row>
    <row r="29" spans="1:22">
      <c r="A29" s="5" t="s">
        <v>26</v>
      </c>
      <c r="B29" s="6">
        <v>45748</v>
      </c>
      <c r="C29" s="5" t="s">
        <v>27</v>
      </c>
      <c r="D29" s="5">
        <f t="shared" si="0"/>
        <v>0</v>
      </c>
      <c r="E29" s="5">
        <f t="shared" si="1"/>
        <v>0</v>
      </c>
      <c r="F29" s="5">
        <f t="shared" si="2"/>
        <v>0</v>
      </c>
      <c r="G29" s="5" t="s">
        <v>28</v>
      </c>
      <c r="H29" s="5">
        <v>52715.1</v>
      </c>
      <c r="I29" s="5">
        <v>7223</v>
      </c>
      <c r="J29" s="5">
        <v>0.122</v>
      </c>
      <c r="K29" s="5">
        <v>16</v>
      </c>
      <c r="L29" s="5">
        <v>84.2</v>
      </c>
      <c r="M29" s="5">
        <v>16.149999999999999</v>
      </c>
      <c r="N29" s="5">
        <v>0</v>
      </c>
      <c r="O29" s="5">
        <v>3.7</v>
      </c>
      <c r="P29" s="5">
        <v>701641.97</v>
      </c>
      <c r="Q29" s="5">
        <v>106111.86</v>
      </c>
      <c r="S29" s="5">
        <v>52715.1</v>
      </c>
      <c r="T29" s="5">
        <v>7223</v>
      </c>
      <c r="U29" s="5">
        <v>84.2</v>
      </c>
      <c r="V29" s="5">
        <f t="shared" si="3"/>
        <v>0</v>
      </c>
    </row>
    <row r="30" spans="1:22">
      <c r="A30" s="5" t="s">
        <v>29</v>
      </c>
      <c r="B30" s="6">
        <v>45658</v>
      </c>
      <c r="C30" s="5" t="s">
        <v>15</v>
      </c>
      <c r="D30" s="5">
        <f t="shared" si="0"/>
        <v>0</v>
      </c>
      <c r="E30" s="5">
        <f t="shared" si="1"/>
        <v>0</v>
      </c>
      <c r="F30" s="5">
        <f t="shared" si="2"/>
        <v>1</v>
      </c>
      <c r="G30" s="5" t="s">
        <v>16</v>
      </c>
      <c r="H30" s="5">
        <v>68600.62</v>
      </c>
      <c r="I30" s="5">
        <v>3988</v>
      </c>
      <c r="J30" s="5">
        <v>0.124</v>
      </c>
      <c r="K30" s="5">
        <v>11</v>
      </c>
      <c r="L30" s="5">
        <v>85</v>
      </c>
      <c r="M30" s="5">
        <v>0.48</v>
      </c>
      <c r="N30" s="5">
        <v>0</v>
      </c>
      <c r="O30" s="5">
        <v>3.6</v>
      </c>
      <c r="P30" s="5">
        <v>511844.41</v>
      </c>
      <c r="Q30" s="5">
        <v>72774.44</v>
      </c>
      <c r="S30" s="5">
        <v>68600.62</v>
      </c>
      <c r="T30" s="5">
        <v>3988</v>
      </c>
      <c r="U30" s="5">
        <v>85</v>
      </c>
      <c r="V30" s="5">
        <f t="shared" si="3"/>
        <v>0</v>
      </c>
    </row>
    <row r="31" spans="1:22">
      <c r="A31" s="5" t="s">
        <v>29</v>
      </c>
      <c r="B31" s="6">
        <v>45689</v>
      </c>
      <c r="C31" s="5" t="s">
        <v>15</v>
      </c>
      <c r="D31" s="5">
        <f t="shared" si="0"/>
        <v>0</v>
      </c>
      <c r="E31" s="5">
        <f t="shared" si="1"/>
        <v>0</v>
      </c>
      <c r="F31" s="5">
        <f t="shared" si="2"/>
        <v>1</v>
      </c>
      <c r="G31" s="5" t="s">
        <v>16</v>
      </c>
      <c r="H31" s="5">
        <v>63176.73</v>
      </c>
      <c r="I31" s="5">
        <v>2390</v>
      </c>
      <c r="J31" s="5">
        <v>0.216</v>
      </c>
      <c r="K31" s="5">
        <v>9</v>
      </c>
      <c r="L31" s="5">
        <v>87.5</v>
      </c>
      <c r="M31" s="5">
        <v>0.31</v>
      </c>
      <c r="N31" s="5">
        <v>0</v>
      </c>
      <c r="O31" s="5">
        <v>3.1</v>
      </c>
      <c r="P31" s="5">
        <v>537383.79</v>
      </c>
      <c r="Q31" s="5">
        <v>63773.27</v>
      </c>
      <c r="S31" s="5">
        <v>63176.73</v>
      </c>
      <c r="T31" s="5">
        <v>2390</v>
      </c>
      <c r="U31" s="5">
        <v>87.5</v>
      </c>
      <c r="V31" s="5">
        <f t="shared" si="3"/>
        <v>0</v>
      </c>
    </row>
    <row r="32" spans="1:22">
      <c r="A32" s="5" t="s">
        <v>29</v>
      </c>
      <c r="B32" s="6">
        <v>45717</v>
      </c>
      <c r="C32" s="5" t="s">
        <v>15</v>
      </c>
      <c r="D32" s="5">
        <f t="shared" si="0"/>
        <v>0</v>
      </c>
      <c r="E32" s="5">
        <f t="shared" si="1"/>
        <v>0</v>
      </c>
      <c r="F32" s="5">
        <f t="shared" si="2"/>
        <v>1</v>
      </c>
      <c r="G32" s="5" t="s">
        <v>16</v>
      </c>
      <c r="H32" s="5">
        <v>44970.080000000002</v>
      </c>
      <c r="I32" s="5">
        <v>2471</v>
      </c>
      <c r="J32" s="5">
        <v>0.13600000000000001</v>
      </c>
      <c r="K32" s="5">
        <v>11</v>
      </c>
      <c r="L32" s="5">
        <v>87.6</v>
      </c>
      <c r="M32" s="5">
        <v>3.01</v>
      </c>
      <c r="N32" s="5">
        <v>1</v>
      </c>
      <c r="O32" s="5">
        <v>3.7</v>
      </c>
      <c r="P32" s="5">
        <v>500173.02</v>
      </c>
      <c r="Q32" s="5">
        <v>70982.05</v>
      </c>
      <c r="S32" s="5">
        <v>44970.080000000002</v>
      </c>
      <c r="T32" s="5">
        <v>2471</v>
      </c>
      <c r="U32" s="5">
        <v>87.6</v>
      </c>
      <c r="V32" s="5">
        <f t="shared" si="3"/>
        <v>0</v>
      </c>
    </row>
    <row r="33" spans="1:22">
      <c r="A33" s="5" t="s">
        <v>29</v>
      </c>
      <c r="B33" s="6">
        <v>45748</v>
      </c>
      <c r="C33" s="5" t="s">
        <v>15</v>
      </c>
      <c r="D33" s="5">
        <f t="shared" si="0"/>
        <v>0</v>
      </c>
      <c r="E33" s="5">
        <f t="shared" si="1"/>
        <v>0</v>
      </c>
      <c r="F33" s="5">
        <f t="shared" si="2"/>
        <v>1</v>
      </c>
      <c r="G33" s="5" t="s">
        <v>16</v>
      </c>
      <c r="H33" s="5">
        <v>69816.350000000006</v>
      </c>
      <c r="I33" s="5">
        <v>971</v>
      </c>
      <c r="J33" s="5">
        <v>0.16800000000000001</v>
      </c>
      <c r="K33" s="5">
        <v>5</v>
      </c>
      <c r="L33" s="5">
        <v>89.9</v>
      </c>
      <c r="M33" s="5">
        <v>12.15</v>
      </c>
      <c r="N33" s="5">
        <v>0</v>
      </c>
      <c r="O33" s="5">
        <v>3.6</v>
      </c>
      <c r="P33" s="5">
        <v>427917.38</v>
      </c>
      <c r="Q33" s="5">
        <v>81824.31</v>
      </c>
      <c r="S33" s="5">
        <v>69816.350000000006</v>
      </c>
      <c r="T33" s="5">
        <v>971</v>
      </c>
      <c r="U33" s="5">
        <v>89.9</v>
      </c>
      <c r="V33" s="5">
        <f t="shared" si="3"/>
        <v>0</v>
      </c>
    </row>
    <row r="34" spans="1:22">
      <c r="A34" s="5" t="s">
        <v>30</v>
      </c>
      <c r="B34" s="6">
        <v>45658</v>
      </c>
      <c r="C34" s="5" t="s">
        <v>20</v>
      </c>
      <c r="D34" s="5">
        <f t="shared" si="0"/>
        <v>1</v>
      </c>
      <c r="E34" s="5">
        <f t="shared" si="1"/>
        <v>0</v>
      </c>
      <c r="F34" s="5">
        <f t="shared" si="2"/>
        <v>0</v>
      </c>
      <c r="G34" s="5" t="s">
        <v>16</v>
      </c>
      <c r="H34" s="5">
        <v>54597.83</v>
      </c>
      <c r="I34" s="5">
        <v>9429</v>
      </c>
      <c r="J34" s="5">
        <v>0.188</v>
      </c>
      <c r="K34" s="5">
        <v>21</v>
      </c>
      <c r="L34" s="5">
        <v>83.3</v>
      </c>
      <c r="M34" s="5">
        <v>11.71</v>
      </c>
      <c r="N34" s="5">
        <v>0</v>
      </c>
      <c r="O34" s="5">
        <v>4.2</v>
      </c>
      <c r="P34" s="5">
        <v>641865.03</v>
      </c>
      <c r="Q34" s="5">
        <v>81342.58</v>
      </c>
      <c r="S34" s="5">
        <v>54597.83</v>
      </c>
      <c r="T34" s="5">
        <v>9429</v>
      </c>
      <c r="U34" s="5">
        <v>83.3</v>
      </c>
      <c r="V34" s="5">
        <f t="shared" si="3"/>
        <v>0</v>
      </c>
    </row>
    <row r="35" spans="1:22">
      <c r="A35" s="5" t="s">
        <v>30</v>
      </c>
      <c r="B35" s="6">
        <v>45689</v>
      </c>
      <c r="C35" s="5" t="s">
        <v>20</v>
      </c>
      <c r="D35" s="5">
        <f t="shared" si="0"/>
        <v>1</v>
      </c>
      <c r="E35" s="5">
        <f t="shared" si="1"/>
        <v>0</v>
      </c>
      <c r="F35" s="5">
        <f t="shared" si="2"/>
        <v>0</v>
      </c>
      <c r="G35" s="5" t="s">
        <v>16</v>
      </c>
      <c r="H35" s="5">
        <v>73771.91</v>
      </c>
      <c r="I35" s="5">
        <v>11695</v>
      </c>
      <c r="J35" s="5">
        <v>7.0000000000000007E-2</v>
      </c>
      <c r="K35" s="5">
        <v>25</v>
      </c>
      <c r="L35" s="5">
        <v>84.7</v>
      </c>
      <c r="M35" s="5">
        <v>0.62</v>
      </c>
      <c r="N35" s="5">
        <v>0</v>
      </c>
      <c r="O35" s="5"/>
      <c r="P35" s="5">
        <v>799477.76000000001</v>
      </c>
      <c r="Q35" s="5">
        <v>164974.41</v>
      </c>
      <c r="S35" s="5">
        <v>73771.91</v>
      </c>
      <c r="T35" s="5">
        <v>11695</v>
      </c>
      <c r="U35" s="5">
        <v>84.7</v>
      </c>
      <c r="V35" s="5">
        <f t="shared" si="3"/>
        <v>0</v>
      </c>
    </row>
    <row r="36" spans="1:22">
      <c r="A36" s="5" t="s">
        <v>30</v>
      </c>
      <c r="B36" s="6">
        <v>45717</v>
      </c>
      <c r="C36" s="5" t="s">
        <v>20</v>
      </c>
      <c r="D36" s="5">
        <f t="shared" si="0"/>
        <v>1</v>
      </c>
      <c r="E36" s="5">
        <f t="shared" si="1"/>
        <v>0</v>
      </c>
      <c r="F36" s="5">
        <f t="shared" si="2"/>
        <v>0</v>
      </c>
      <c r="G36" s="5" t="s">
        <v>16</v>
      </c>
      <c r="H36" s="5">
        <v>74413.88</v>
      </c>
      <c r="I36" s="5">
        <v>9449</v>
      </c>
      <c r="J36" s="5">
        <v>3.9E-2</v>
      </c>
      <c r="K36" s="5">
        <v>23</v>
      </c>
      <c r="L36" s="5">
        <v>92.1</v>
      </c>
      <c r="M36" s="5">
        <v>2.12</v>
      </c>
      <c r="N36" s="5">
        <v>0</v>
      </c>
      <c r="O36" s="5">
        <v>3.5</v>
      </c>
      <c r="P36" s="5">
        <v>798952.17</v>
      </c>
      <c r="Q36" s="5">
        <v>161499.04</v>
      </c>
      <c r="S36" s="5">
        <v>74413.88</v>
      </c>
      <c r="T36" s="5">
        <v>9449</v>
      </c>
      <c r="U36" s="5">
        <v>92.1</v>
      </c>
      <c r="V36" s="5">
        <f t="shared" si="3"/>
        <v>0</v>
      </c>
    </row>
    <row r="37" spans="1:22">
      <c r="A37" s="5" t="s">
        <v>30</v>
      </c>
      <c r="B37" s="6">
        <v>45748</v>
      </c>
      <c r="C37" s="5" t="s">
        <v>20</v>
      </c>
      <c r="D37" s="5">
        <f t="shared" si="0"/>
        <v>1</v>
      </c>
      <c r="E37" s="5">
        <f t="shared" si="1"/>
        <v>0</v>
      </c>
      <c r="F37" s="5">
        <f t="shared" si="2"/>
        <v>0</v>
      </c>
      <c r="G37" s="5" t="s">
        <v>16</v>
      </c>
      <c r="H37" s="5">
        <v>52483.77</v>
      </c>
      <c r="I37" s="5">
        <v>10453</v>
      </c>
      <c r="J37" s="5">
        <v>0.247</v>
      </c>
      <c r="K37" s="5">
        <v>25</v>
      </c>
      <c r="L37" s="5">
        <v>99</v>
      </c>
      <c r="M37" s="5">
        <v>6.31</v>
      </c>
      <c r="N37" s="5">
        <v>0</v>
      </c>
      <c r="O37" s="5">
        <v>3.6</v>
      </c>
      <c r="P37" s="5">
        <v>800979.78</v>
      </c>
      <c r="Q37" s="5">
        <v>149242.26999999999</v>
      </c>
      <c r="S37" s="5">
        <v>52483.77</v>
      </c>
      <c r="T37" s="5">
        <v>10453</v>
      </c>
      <c r="U37" s="5">
        <v>99</v>
      </c>
      <c r="V37" s="5">
        <f t="shared" si="3"/>
        <v>0</v>
      </c>
    </row>
    <row r="38" spans="1:22">
      <c r="A38" s="5" t="s">
        <v>31</v>
      </c>
      <c r="B38" s="6">
        <v>45658</v>
      </c>
      <c r="C38" s="5" t="s">
        <v>20</v>
      </c>
      <c r="D38" s="5">
        <f t="shared" si="0"/>
        <v>1</v>
      </c>
      <c r="E38" s="5">
        <f t="shared" si="1"/>
        <v>0</v>
      </c>
      <c r="F38" s="5">
        <f t="shared" si="2"/>
        <v>0</v>
      </c>
      <c r="G38" s="5" t="s">
        <v>28</v>
      </c>
      <c r="H38" s="5">
        <v>75269.87</v>
      </c>
      <c r="I38" s="5">
        <v>8838</v>
      </c>
      <c r="J38" s="5">
        <v>9.1999999999999998E-2</v>
      </c>
      <c r="K38" s="5">
        <v>21</v>
      </c>
      <c r="L38" s="5">
        <v>83.1</v>
      </c>
      <c r="M38" s="5">
        <v>9.56</v>
      </c>
      <c r="N38" s="5">
        <v>1</v>
      </c>
      <c r="O38" s="5">
        <v>4.2</v>
      </c>
      <c r="P38" s="5">
        <v>820593.93</v>
      </c>
      <c r="Q38" s="5">
        <v>115860.06</v>
      </c>
      <c r="S38" s="5">
        <v>75269.87</v>
      </c>
      <c r="T38" s="5">
        <v>8838</v>
      </c>
      <c r="U38" s="5">
        <v>83.1</v>
      </c>
      <c r="V38" s="5">
        <f t="shared" si="3"/>
        <v>0</v>
      </c>
    </row>
    <row r="39" spans="1:22">
      <c r="A39" s="5" t="s">
        <v>31</v>
      </c>
      <c r="B39" s="6">
        <v>45689</v>
      </c>
      <c r="C39" s="5" t="s">
        <v>20</v>
      </c>
      <c r="D39" s="5">
        <f t="shared" si="0"/>
        <v>1</v>
      </c>
      <c r="E39" s="5">
        <f t="shared" si="1"/>
        <v>0</v>
      </c>
      <c r="F39" s="5">
        <f t="shared" si="2"/>
        <v>0</v>
      </c>
      <c r="G39" s="5" t="s">
        <v>28</v>
      </c>
      <c r="H39" s="5">
        <v>61245.41</v>
      </c>
      <c r="I39" s="5">
        <v>8156</v>
      </c>
      <c r="J39" s="5">
        <v>0.156</v>
      </c>
      <c r="K39" s="5">
        <v>19</v>
      </c>
      <c r="L39" s="5">
        <v>92.9</v>
      </c>
      <c r="M39" s="5">
        <v>9.0500000000000007</v>
      </c>
      <c r="N39" s="5">
        <v>0</v>
      </c>
      <c r="O39" s="5">
        <v>3.8</v>
      </c>
      <c r="P39" s="5">
        <v>718330.53</v>
      </c>
      <c r="Q39" s="5">
        <v>93247.9</v>
      </c>
      <c r="S39" s="5">
        <v>61245.41</v>
      </c>
      <c r="T39" s="5">
        <v>8156</v>
      </c>
      <c r="U39" s="5">
        <v>92.9</v>
      </c>
      <c r="V39" s="5">
        <f t="shared" si="3"/>
        <v>0</v>
      </c>
    </row>
    <row r="40" spans="1:22">
      <c r="A40" s="5" t="s">
        <v>31</v>
      </c>
      <c r="B40" s="6">
        <v>45717</v>
      </c>
      <c r="C40" s="5" t="s">
        <v>20</v>
      </c>
      <c r="D40" s="5">
        <f t="shared" si="0"/>
        <v>1</v>
      </c>
      <c r="E40" s="5">
        <f t="shared" si="1"/>
        <v>0</v>
      </c>
      <c r="F40" s="5">
        <f t="shared" si="2"/>
        <v>0</v>
      </c>
      <c r="G40" s="5" t="s">
        <v>28</v>
      </c>
      <c r="H40" s="5">
        <v>93381.26</v>
      </c>
      <c r="I40" s="5">
        <v>7562</v>
      </c>
      <c r="J40" s="5">
        <v>0.19800000000000001</v>
      </c>
      <c r="K40" s="5">
        <v>19</v>
      </c>
      <c r="L40" s="5">
        <v>82.9</v>
      </c>
      <c r="M40" s="5">
        <v>5.05</v>
      </c>
      <c r="N40" s="5">
        <v>0</v>
      </c>
      <c r="O40" s="5">
        <v>4</v>
      </c>
      <c r="P40" s="5">
        <v>736633.4</v>
      </c>
      <c r="Q40" s="5">
        <v>115654.66</v>
      </c>
      <c r="S40" s="5">
        <v>93381.26</v>
      </c>
      <c r="T40" s="5">
        <v>7562</v>
      </c>
      <c r="U40" s="5">
        <v>82.9</v>
      </c>
      <c r="V40" s="5">
        <f t="shared" si="3"/>
        <v>0</v>
      </c>
    </row>
    <row r="41" spans="1:22">
      <c r="A41" s="5" t="s">
        <v>31</v>
      </c>
      <c r="B41" s="6">
        <v>45748</v>
      </c>
      <c r="C41" s="5" t="s">
        <v>20</v>
      </c>
      <c r="D41" s="5">
        <f t="shared" si="0"/>
        <v>1</v>
      </c>
      <c r="E41" s="5">
        <f t="shared" si="1"/>
        <v>0</v>
      </c>
      <c r="F41" s="5">
        <f t="shared" si="2"/>
        <v>0</v>
      </c>
      <c r="G41" s="5" t="s">
        <v>28</v>
      </c>
      <c r="H41" s="5">
        <v>65012.19</v>
      </c>
      <c r="I41" s="5">
        <v>9598</v>
      </c>
      <c r="J41" s="5">
        <v>8.5000000000000006E-2</v>
      </c>
      <c r="K41" s="5">
        <v>24</v>
      </c>
      <c r="L41" s="5">
        <v>98.3</v>
      </c>
      <c r="M41" s="5">
        <v>0.89</v>
      </c>
      <c r="N41" s="5">
        <v>0</v>
      </c>
      <c r="O41" s="5">
        <v>3.8</v>
      </c>
      <c r="P41" s="5">
        <v>828623.85</v>
      </c>
      <c r="Q41" s="5">
        <v>167320.51999999999</v>
      </c>
      <c r="S41" s="5">
        <v>65012.19</v>
      </c>
      <c r="T41" s="5">
        <v>9598</v>
      </c>
      <c r="U41" s="5">
        <v>98.3</v>
      </c>
      <c r="V41" s="5">
        <f t="shared" si="3"/>
        <v>0</v>
      </c>
    </row>
    <row r="42" spans="1:22">
      <c r="A42" s="5" t="s">
        <v>32</v>
      </c>
      <c r="B42" s="6">
        <v>45658</v>
      </c>
      <c r="C42" s="5" t="s">
        <v>15</v>
      </c>
      <c r="D42" s="5">
        <f t="shared" si="0"/>
        <v>0</v>
      </c>
      <c r="E42" s="5">
        <f t="shared" si="1"/>
        <v>0</v>
      </c>
      <c r="F42" s="5">
        <f t="shared" si="2"/>
        <v>1</v>
      </c>
      <c r="G42" s="5" t="s">
        <v>28</v>
      </c>
      <c r="H42" s="5">
        <v>40462.94</v>
      </c>
      <c r="I42" s="5">
        <v>3660</v>
      </c>
      <c r="J42" s="5">
        <v>0.218</v>
      </c>
      <c r="K42" s="5">
        <v>11</v>
      </c>
      <c r="L42" s="5">
        <v>95.2</v>
      </c>
      <c r="M42" s="5">
        <v>5.57</v>
      </c>
      <c r="N42" s="5">
        <v>0</v>
      </c>
      <c r="O42" s="5">
        <v>4.4000000000000004</v>
      </c>
      <c r="P42" s="5">
        <v>592195.85</v>
      </c>
      <c r="Q42" s="5">
        <v>92291.56</v>
      </c>
      <c r="S42" s="5">
        <v>40462.94</v>
      </c>
      <c r="T42" s="5">
        <v>3660</v>
      </c>
      <c r="U42" s="5">
        <v>95.2</v>
      </c>
      <c r="V42" s="5">
        <f t="shared" si="3"/>
        <v>0</v>
      </c>
    </row>
    <row r="43" spans="1:22">
      <c r="A43" s="5" t="s">
        <v>32</v>
      </c>
      <c r="B43" s="6">
        <v>45689</v>
      </c>
      <c r="C43" s="5" t="s">
        <v>15</v>
      </c>
      <c r="D43" s="5">
        <f t="shared" si="0"/>
        <v>0</v>
      </c>
      <c r="E43" s="5">
        <f t="shared" si="1"/>
        <v>0</v>
      </c>
      <c r="F43" s="5">
        <f t="shared" si="2"/>
        <v>1</v>
      </c>
      <c r="G43" s="5" t="s">
        <v>28</v>
      </c>
      <c r="H43" s="5">
        <v>46123.88</v>
      </c>
      <c r="I43" s="5">
        <v>3227</v>
      </c>
      <c r="J43" s="5">
        <v>0.14299999999999999</v>
      </c>
      <c r="K43" s="5">
        <v>10</v>
      </c>
      <c r="L43" s="5">
        <v>75.400000000000006</v>
      </c>
      <c r="M43" s="5">
        <v>1.06</v>
      </c>
      <c r="N43" s="5">
        <v>0</v>
      </c>
      <c r="O43" s="5">
        <v>4.4000000000000004</v>
      </c>
      <c r="P43" s="5">
        <v>532644.46</v>
      </c>
      <c r="Q43" s="5">
        <v>60681.32</v>
      </c>
      <c r="S43" s="5">
        <v>46123.88</v>
      </c>
      <c r="T43" s="5">
        <v>3227</v>
      </c>
      <c r="U43" s="5">
        <v>75.400000000000006</v>
      </c>
      <c r="V43" s="5">
        <f t="shared" si="3"/>
        <v>0</v>
      </c>
    </row>
    <row r="44" spans="1:22">
      <c r="A44" s="5" t="s">
        <v>32</v>
      </c>
      <c r="B44" s="6">
        <v>45717</v>
      </c>
      <c r="C44" s="5" t="s">
        <v>15</v>
      </c>
      <c r="D44" s="5">
        <f t="shared" si="0"/>
        <v>0</v>
      </c>
      <c r="E44" s="5">
        <f t="shared" si="1"/>
        <v>0</v>
      </c>
      <c r="F44" s="5">
        <f t="shared" si="2"/>
        <v>1</v>
      </c>
      <c r="G44" s="5" t="s">
        <v>28</v>
      </c>
      <c r="H44" s="5">
        <v>68077.539999999994</v>
      </c>
      <c r="I44" s="5">
        <v>3360</v>
      </c>
      <c r="J44" s="5">
        <v>0.128</v>
      </c>
      <c r="K44" s="5">
        <v>14</v>
      </c>
      <c r="L44" s="5">
        <v>88.2</v>
      </c>
      <c r="M44" s="5">
        <v>1.24</v>
      </c>
      <c r="N44" s="5">
        <v>1</v>
      </c>
      <c r="O44" s="5">
        <v>4</v>
      </c>
      <c r="P44" s="5">
        <v>657429.18000000005</v>
      </c>
      <c r="Q44" s="5">
        <v>88919.74</v>
      </c>
      <c r="S44" s="5">
        <v>68077.539999999994</v>
      </c>
      <c r="T44" s="5">
        <v>3360</v>
      </c>
      <c r="U44" s="5">
        <v>88.2</v>
      </c>
      <c r="V44" s="5">
        <f t="shared" si="3"/>
        <v>0</v>
      </c>
    </row>
    <row r="45" spans="1:22">
      <c r="A45" s="5" t="s">
        <v>32</v>
      </c>
      <c r="B45" s="6">
        <v>45748</v>
      </c>
      <c r="C45" s="5" t="s">
        <v>15</v>
      </c>
      <c r="D45" s="5">
        <f t="shared" si="0"/>
        <v>0</v>
      </c>
      <c r="E45" s="5">
        <f t="shared" si="1"/>
        <v>0</v>
      </c>
      <c r="F45" s="5">
        <f t="shared" si="2"/>
        <v>1</v>
      </c>
      <c r="G45" s="5" t="s">
        <v>28</v>
      </c>
      <c r="H45" s="5">
        <v>64882.14</v>
      </c>
      <c r="I45" s="5">
        <v>3642</v>
      </c>
      <c r="J45" s="5">
        <v>1.9E-2</v>
      </c>
      <c r="K45" s="5">
        <v>13</v>
      </c>
      <c r="L45" s="5">
        <v>87.8</v>
      </c>
      <c r="M45" s="5">
        <v>4.5199999999999996</v>
      </c>
      <c r="N45" s="5">
        <v>0</v>
      </c>
      <c r="O45" s="5">
        <v>4.2</v>
      </c>
      <c r="P45" s="5">
        <v>605178</v>
      </c>
      <c r="Q45" s="5">
        <v>106958.74</v>
      </c>
      <c r="S45" s="5">
        <v>64882.14</v>
      </c>
      <c r="T45" s="5">
        <v>3642</v>
      </c>
      <c r="U45" s="5">
        <v>87.8</v>
      </c>
      <c r="V45" s="5">
        <f t="shared" si="3"/>
        <v>0</v>
      </c>
    </row>
    <row r="46" spans="1:22">
      <c r="A46" s="5" t="s">
        <v>33</v>
      </c>
      <c r="B46" s="6">
        <v>45658</v>
      </c>
      <c r="C46" s="5" t="s">
        <v>27</v>
      </c>
      <c r="D46" s="5">
        <f t="shared" si="0"/>
        <v>0</v>
      </c>
      <c r="E46" s="5">
        <f t="shared" si="1"/>
        <v>0</v>
      </c>
      <c r="F46" s="5">
        <f t="shared" si="2"/>
        <v>0</v>
      </c>
      <c r="G46" s="5" t="s">
        <v>16</v>
      </c>
      <c r="H46" s="5">
        <v>138855.51</v>
      </c>
      <c r="I46" s="5">
        <v>5145</v>
      </c>
      <c r="J46" s="5">
        <v>0.06</v>
      </c>
      <c r="K46" s="5">
        <v>17</v>
      </c>
      <c r="L46" s="5">
        <v>88.2</v>
      </c>
      <c r="M46" s="5">
        <v>9.58</v>
      </c>
      <c r="N46" s="5">
        <v>0</v>
      </c>
      <c r="O46" s="5">
        <v>3.2</v>
      </c>
      <c r="P46" s="5">
        <v>595467.6</v>
      </c>
      <c r="Q46" s="5">
        <v>104276.46</v>
      </c>
      <c r="S46" s="5">
        <v>138855.51</v>
      </c>
      <c r="T46" s="5">
        <v>5145</v>
      </c>
      <c r="U46" s="5">
        <v>88.2</v>
      </c>
      <c r="V46" s="5">
        <f t="shared" si="3"/>
        <v>0</v>
      </c>
    </row>
    <row r="47" spans="1:22">
      <c r="A47" s="5" t="s">
        <v>33</v>
      </c>
      <c r="B47" s="6">
        <v>45689</v>
      </c>
      <c r="C47" s="5" t="s">
        <v>27</v>
      </c>
      <c r="D47" s="5">
        <f t="shared" si="0"/>
        <v>0</v>
      </c>
      <c r="E47" s="5">
        <f t="shared" si="1"/>
        <v>0</v>
      </c>
      <c r="F47" s="5">
        <f t="shared" si="2"/>
        <v>0</v>
      </c>
      <c r="G47" s="5" t="s">
        <v>16</v>
      </c>
      <c r="H47" s="5">
        <v>63630.21</v>
      </c>
      <c r="I47" s="5">
        <v>4460</v>
      </c>
      <c r="J47" s="5">
        <v>0.23499999999999999</v>
      </c>
      <c r="K47" s="5">
        <v>14</v>
      </c>
      <c r="L47" s="5">
        <v>98.6</v>
      </c>
      <c r="M47" s="5">
        <v>5.52</v>
      </c>
      <c r="N47" s="5">
        <v>0</v>
      </c>
      <c r="O47" s="5">
        <v>3.5</v>
      </c>
      <c r="P47" s="5">
        <v>599603.4</v>
      </c>
      <c r="Q47" s="5">
        <v>112685.12</v>
      </c>
      <c r="S47" s="5">
        <v>63630.21</v>
      </c>
      <c r="T47" s="5">
        <v>4460</v>
      </c>
      <c r="U47" s="5">
        <v>98.6</v>
      </c>
      <c r="V47" s="5">
        <f t="shared" si="3"/>
        <v>0</v>
      </c>
    </row>
    <row r="48" spans="1:22">
      <c r="A48" s="5" t="s">
        <v>33</v>
      </c>
      <c r="B48" s="6">
        <v>45717</v>
      </c>
      <c r="C48" s="5" t="s">
        <v>27</v>
      </c>
      <c r="D48" s="5">
        <f t="shared" si="0"/>
        <v>0</v>
      </c>
      <c r="E48" s="5">
        <f t="shared" si="1"/>
        <v>0</v>
      </c>
      <c r="F48" s="5">
        <f t="shared" si="2"/>
        <v>0</v>
      </c>
      <c r="G48" s="5" t="s">
        <v>16</v>
      </c>
      <c r="H48" s="5">
        <v>50043.65</v>
      </c>
      <c r="I48" s="5">
        <v>3804</v>
      </c>
      <c r="J48" s="5">
        <v>0.113</v>
      </c>
      <c r="K48" s="5">
        <v>11</v>
      </c>
      <c r="L48" s="5">
        <v>90.9</v>
      </c>
      <c r="M48" s="5">
        <v>2.7</v>
      </c>
      <c r="N48" s="5">
        <v>1</v>
      </c>
      <c r="O48" s="5">
        <v>3.2</v>
      </c>
      <c r="P48" s="5">
        <v>614800.09</v>
      </c>
      <c r="Q48" s="5">
        <v>100044.2</v>
      </c>
      <c r="S48" s="5">
        <v>50043.65</v>
      </c>
      <c r="T48" s="5">
        <v>3804</v>
      </c>
      <c r="U48" s="5">
        <v>90.9</v>
      </c>
      <c r="V48" s="5">
        <f t="shared" si="3"/>
        <v>0</v>
      </c>
    </row>
    <row r="49" spans="1:22">
      <c r="A49" s="5" t="s">
        <v>33</v>
      </c>
      <c r="B49" s="6">
        <v>45748</v>
      </c>
      <c r="C49" s="5" t="s">
        <v>27</v>
      </c>
      <c r="D49" s="5">
        <f t="shared" si="0"/>
        <v>0</v>
      </c>
      <c r="E49" s="5">
        <f t="shared" si="1"/>
        <v>0</v>
      </c>
      <c r="F49" s="5">
        <f t="shared" si="2"/>
        <v>0</v>
      </c>
      <c r="G49" s="5" t="s">
        <v>16</v>
      </c>
      <c r="H49" s="5">
        <v>42093.84</v>
      </c>
      <c r="I49" s="5">
        <v>4074</v>
      </c>
      <c r="J49" s="5">
        <v>0.155</v>
      </c>
      <c r="K49" s="5">
        <v>15</v>
      </c>
      <c r="L49" s="5">
        <v>88</v>
      </c>
      <c r="M49" s="5">
        <v>9.64</v>
      </c>
      <c r="N49" s="5">
        <v>0</v>
      </c>
      <c r="O49" s="5">
        <v>3.3</v>
      </c>
      <c r="P49" s="5">
        <v>585365.73</v>
      </c>
      <c r="Q49" s="5">
        <v>81011.520000000004</v>
      </c>
      <c r="S49" s="5">
        <v>42093.84</v>
      </c>
      <c r="T49" s="5">
        <v>4074</v>
      </c>
      <c r="U49" s="5">
        <v>88</v>
      </c>
      <c r="V49" s="5">
        <f t="shared" si="3"/>
        <v>0</v>
      </c>
    </row>
    <row r="50" spans="1:22">
      <c r="A50" s="5" t="s">
        <v>34</v>
      </c>
      <c r="B50" s="6">
        <v>45658</v>
      </c>
      <c r="C50" s="5" t="s">
        <v>20</v>
      </c>
      <c r="D50" s="5">
        <f t="shared" si="0"/>
        <v>1</v>
      </c>
      <c r="E50" s="5">
        <f t="shared" si="1"/>
        <v>0</v>
      </c>
      <c r="F50" s="5">
        <f t="shared" si="2"/>
        <v>0</v>
      </c>
      <c r="G50" s="5" t="s">
        <v>28</v>
      </c>
      <c r="H50" s="5">
        <v>46624.05</v>
      </c>
      <c r="I50" s="5">
        <v>5104</v>
      </c>
      <c r="J50" s="5">
        <v>0.109</v>
      </c>
      <c r="K50" s="5">
        <v>11</v>
      </c>
      <c r="L50" s="5">
        <v>97.3</v>
      </c>
      <c r="M50" s="5">
        <v>3.49</v>
      </c>
      <c r="N50" s="5">
        <v>1</v>
      </c>
      <c r="O50" s="5">
        <v>4.7</v>
      </c>
      <c r="P50" s="5">
        <v>622811.74</v>
      </c>
      <c r="Q50" s="5">
        <v>109978.35</v>
      </c>
      <c r="S50" s="5">
        <v>46624.05</v>
      </c>
      <c r="T50" s="5">
        <v>5104</v>
      </c>
      <c r="U50" s="5">
        <v>97.3</v>
      </c>
      <c r="V50" s="5">
        <f t="shared" si="3"/>
        <v>0</v>
      </c>
    </row>
    <row r="51" spans="1:22">
      <c r="A51" s="5" t="s">
        <v>34</v>
      </c>
      <c r="B51" s="6">
        <v>45689</v>
      </c>
      <c r="C51" s="5" t="s">
        <v>20</v>
      </c>
      <c r="D51" s="5">
        <f t="shared" si="0"/>
        <v>1</v>
      </c>
      <c r="E51" s="5">
        <f t="shared" si="1"/>
        <v>0</v>
      </c>
      <c r="F51" s="5">
        <f t="shared" si="2"/>
        <v>0</v>
      </c>
      <c r="G51" s="5" t="s">
        <v>28</v>
      </c>
      <c r="H51" s="5">
        <v>49710.29</v>
      </c>
      <c r="I51" s="5">
        <v>5559</v>
      </c>
      <c r="J51" s="5">
        <v>0.218</v>
      </c>
      <c r="K51" s="5">
        <v>14</v>
      </c>
      <c r="L51" s="5">
        <v>71</v>
      </c>
      <c r="M51" s="5">
        <v>9.11</v>
      </c>
      <c r="N51" s="5">
        <v>0</v>
      </c>
      <c r="O51" s="5">
        <v>4.5999999999999996</v>
      </c>
      <c r="P51" s="5">
        <v>603297.56999999995</v>
      </c>
      <c r="Q51" s="5">
        <v>60592.26</v>
      </c>
      <c r="S51" s="5">
        <v>49710.29</v>
      </c>
      <c r="T51" s="5">
        <v>5559</v>
      </c>
      <c r="U51" s="5">
        <v>71</v>
      </c>
      <c r="V51" s="5">
        <f t="shared" si="3"/>
        <v>0</v>
      </c>
    </row>
    <row r="52" spans="1:22">
      <c r="A52" s="5" t="s">
        <v>34</v>
      </c>
      <c r="B52" s="6">
        <v>45717</v>
      </c>
      <c r="C52" s="5" t="s">
        <v>20</v>
      </c>
      <c r="D52" s="5">
        <f t="shared" si="0"/>
        <v>1</v>
      </c>
      <c r="E52" s="5">
        <f t="shared" si="1"/>
        <v>0</v>
      </c>
      <c r="F52" s="5">
        <f t="shared" si="2"/>
        <v>0</v>
      </c>
      <c r="G52" s="5" t="s">
        <v>28</v>
      </c>
      <c r="H52" s="5">
        <v>48287.85</v>
      </c>
      <c r="I52" s="5">
        <v>5150</v>
      </c>
      <c r="J52" s="5">
        <v>8.0000000000000002E-3</v>
      </c>
      <c r="K52" s="5">
        <v>12</v>
      </c>
      <c r="L52" s="5">
        <v>80.400000000000006</v>
      </c>
      <c r="M52" s="5">
        <v>7.4</v>
      </c>
      <c r="N52" s="5">
        <v>0</v>
      </c>
      <c r="O52" s="5">
        <v>4.5</v>
      </c>
      <c r="P52" s="5">
        <v>625672.86</v>
      </c>
      <c r="Q52" s="5">
        <v>118020.12</v>
      </c>
      <c r="S52" s="5">
        <v>48287.85</v>
      </c>
      <c r="T52" s="5">
        <v>5150</v>
      </c>
      <c r="U52" s="5">
        <v>80.400000000000006</v>
      </c>
      <c r="V52" s="5">
        <f t="shared" si="3"/>
        <v>0</v>
      </c>
    </row>
    <row r="53" spans="1:22">
      <c r="A53" s="5" t="s">
        <v>34</v>
      </c>
      <c r="B53" s="6">
        <v>45748</v>
      </c>
      <c r="C53" s="5" t="s">
        <v>20</v>
      </c>
      <c r="D53" s="5">
        <f t="shared" si="0"/>
        <v>1</v>
      </c>
      <c r="E53" s="5">
        <f t="shared" si="1"/>
        <v>0</v>
      </c>
      <c r="F53" s="5">
        <f t="shared" si="2"/>
        <v>0</v>
      </c>
      <c r="G53" s="5" t="s">
        <v>28</v>
      </c>
      <c r="H53" s="5">
        <v>65312.49</v>
      </c>
      <c r="I53" s="5">
        <v>7189</v>
      </c>
      <c r="J53" s="5">
        <v>0.05</v>
      </c>
      <c r="K53" s="5">
        <v>19</v>
      </c>
      <c r="L53" s="5">
        <v>93.7</v>
      </c>
      <c r="M53" s="5">
        <v>7.16</v>
      </c>
      <c r="N53" s="5">
        <v>0</v>
      </c>
      <c r="O53" s="5">
        <v>4.5999999999999996</v>
      </c>
      <c r="P53" s="5">
        <v>773815.14</v>
      </c>
      <c r="Q53" s="5">
        <v>133948.39000000001</v>
      </c>
      <c r="S53" s="5">
        <v>65312.49</v>
      </c>
      <c r="T53" s="5">
        <v>7189</v>
      </c>
      <c r="U53" s="5">
        <v>93.7</v>
      </c>
      <c r="V53" s="5">
        <f t="shared" si="3"/>
        <v>0</v>
      </c>
    </row>
    <row r="54" spans="1:22">
      <c r="A54" s="5" t="s">
        <v>35</v>
      </c>
      <c r="B54" s="6">
        <v>45658</v>
      </c>
      <c r="C54" s="5" t="s">
        <v>27</v>
      </c>
      <c r="D54" s="5">
        <f t="shared" si="0"/>
        <v>0</v>
      </c>
      <c r="E54" s="5">
        <f t="shared" si="1"/>
        <v>0</v>
      </c>
      <c r="F54" s="5">
        <f t="shared" si="2"/>
        <v>0</v>
      </c>
      <c r="G54" s="5" t="s">
        <v>18</v>
      </c>
      <c r="H54" s="5">
        <v>53015.46</v>
      </c>
      <c r="I54" s="5">
        <v>3279</v>
      </c>
      <c r="J54" s="5">
        <v>8.6999999999999994E-2</v>
      </c>
      <c r="K54" s="5">
        <v>9</v>
      </c>
      <c r="L54" s="5">
        <v>84.3</v>
      </c>
      <c r="M54" s="5">
        <v>22.02</v>
      </c>
      <c r="N54" s="5">
        <v>0</v>
      </c>
      <c r="O54" s="5">
        <v>3.9</v>
      </c>
      <c r="P54" s="5">
        <v>463534.25</v>
      </c>
      <c r="Q54" s="5">
        <v>81834.539999999994</v>
      </c>
      <c r="S54" s="5">
        <v>53015.46</v>
      </c>
      <c r="T54" s="5">
        <v>3279</v>
      </c>
      <c r="U54" s="5">
        <v>84.3</v>
      </c>
      <c r="V54" s="5">
        <f t="shared" si="3"/>
        <v>0</v>
      </c>
    </row>
    <row r="55" spans="1:22">
      <c r="A55" s="5" t="s">
        <v>35</v>
      </c>
      <c r="B55" s="6">
        <v>45689</v>
      </c>
      <c r="C55" s="5" t="s">
        <v>27</v>
      </c>
      <c r="D55" s="5">
        <f t="shared" si="0"/>
        <v>0</v>
      </c>
      <c r="E55" s="5">
        <f t="shared" si="1"/>
        <v>0</v>
      </c>
      <c r="F55" s="5">
        <f t="shared" si="2"/>
        <v>0</v>
      </c>
      <c r="G55" s="5" t="s">
        <v>18</v>
      </c>
      <c r="H55" s="5">
        <v>99874.01</v>
      </c>
      <c r="I55" s="5">
        <v>5887</v>
      </c>
      <c r="J55" s="5">
        <v>0.26200000000000001</v>
      </c>
      <c r="K55" s="5">
        <v>14</v>
      </c>
      <c r="L55" s="5">
        <v>88.7</v>
      </c>
      <c r="M55" s="5">
        <v>6.18</v>
      </c>
      <c r="N55" s="5">
        <v>0</v>
      </c>
      <c r="O55" s="5">
        <v>4.7</v>
      </c>
      <c r="P55" s="5">
        <v>746677.75</v>
      </c>
      <c r="Q55" s="5">
        <v>122437.84</v>
      </c>
      <c r="S55" s="5">
        <v>99874.01</v>
      </c>
      <c r="T55" s="5">
        <v>5887</v>
      </c>
      <c r="U55" s="5">
        <v>88.7</v>
      </c>
      <c r="V55" s="5">
        <f t="shared" si="3"/>
        <v>0</v>
      </c>
    </row>
    <row r="56" spans="1:22">
      <c r="A56" s="5" t="s">
        <v>35</v>
      </c>
      <c r="B56" s="6">
        <v>45717</v>
      </c>
      <c r="C56" s="5" t="s">
        <v>27</v>
      </c>
      <c r="D56" s="5">
        <f t="shared" si="0"/>
        <v>0</v>
      </c>
      <c r="E56" s="5">
        <f t="shared" si="1"/>
        <v>0</v>
      </c>
      <c r="F56" s="5">
        <f t="shared" si="2"/>
        <v>0</v>
      </c>
      <c r="G56" s="5" t="s">
        <v>18</v>
      </c>
      <c r="H56" s="5">
        <v>81195.5</v>
      </c>
      <c r="I56" s="5">
        <v>5516</v>
      </c>
      <c r="J56" s="5">
        <v>0.106</v>
      </c>
      <c r="K56" s="5">
        <v>14</v>
      </c>
      <c r="L56" s="5">
        <v>88</v>
      </c>
      <c r="M56" s="5">
        <v>1.76</v>
      </c>
      <c r="N56" s="5">
        <v>0</v>
      </c>
      <c r="O56" s="5">
        <v>4.3</v>
      </c>
      <c r="P56" s="5">
        <v>720852.5</v>
      </c>
      <c r="Q56" s="5">
        <v>98565.62</v>
      </c>
      <c r="S56" s="5">
        <v>81195.5</v>
      </c>
      <c r="T56" s="5">
        <v>5516</v>
      </c>
      <c r="U56" s="5">
        <v>88</v>
      </c>
      <c r="V56" s="5">
        <f t="shared" si="3"/>
        <v>0</v>
      </c>
    </row>
    <row r="57" spans="1:22">
      <c r="A57" s="5" t="s">
        <v>35</v>
      </c>
      <c r="B57" s="6">
        <v>45748</v>
      </c>
      <c r="C57" s="5" t="s">
        <v>27</v>
      </c>
      <c r="D57" s="5">
        <f t="shared" si="0"/>
        <v>0</v>
      </c>
      <c r="E57" s="5">
        <f t="shared" si="1"/>
        <v>0</v>
      </c>
      <c r="F57" s="5">
        <f t="shared" si="2"/>
        <v>0</v>
      </c>
      <c r="G57" s="5" t="s">
        <v>18</v>
      </c>
      <c r="H57" s="5">
        <v>27808.6</v>
      </c>
      <c r="I57" s="5">
        <v>2863</v>
      </c>
      <c r="J57" s="5">
        <v>0.08</v>
      </c>
      <c r="K57" s="5">
        <v>13</v>
      </c>
      <c r="L57" s="5">
        <v>89.3</v>
      </c>
      <c r="M57" s="5">
        <v>0.47</v>
      </c>
      <c r="N57" s="5">
        <v>0</v>
      </c>
      <c r="O57" s="5">
        <v>4.0999999999999996</v>
      </c>
      <c r="P57" s="5">
        <v>487464.91</v>
      </c>
      <c r="Q57" s="5">
        <v>64562.26</v>
      </c>
      <c r="S57" s="5">
        <v>27808.6</v>
      </c>
      <c r="T57" s="5">
        <v>2863</v>
      </c>
      <c r="U57" s="5">
        <v>89.3</v>
      </c>
      <c r="V57" s="5">
        <f t="shared" si="3"/>
        <v>0</v>
      </c>
    </row>
    <row r="58" spans="1:22">
      <c r="A58" s="5" t="s">
        <v>36</v>
      </c>
      <c r="B58" s="6">
        <v>45658</v>
      </c>
      <c r="C58" s="5" t="s">
        <v>15</v>
      </c>
      <c r="D58" s="5">
        <f t="shared" si="0"/>
        <v>0</v>
      </c>
      <c r="E58" s="5">
        <f t="shared" si="1"/>
        <v>0</v>
      </c>
      <c r="F58" s="5">
        <f t="shared" si="2"/>
        <v>1</v>
      </c>
      <c r="G58" s="5" t="s">
        <v>21</v>
      </c>
      <c r="H58" s="5">
        <v>19365.060000000001</v>
      </c>
      <c r="I58" s="5">
        <v>2378</v>
      </c>
      <c r="J58" s="5">
        <v>0</v>
      </c>
      <c r="K58" s="5">
        <v>12</v>
      </c>
      <c r="L58" s="5">
        <v>94.8</v>
      </c>
      <c r="M58" s="5">
        <v>0.2</v>
      </c>
      <c r="N58" s="5">
        <v>0</v>
      </c>
      <c r="O58" s="5">
        <v>3.5</v>
      </c>
      <c r="P58" s="5">
        <v>518049.26</v>
      </c>
      <c r="Q58" s="5">
        <v>108592.49</v>
      </c>
      <c r="S58" s="5">
        <v>19365.060000000001</v>
      </c>
      <c r="T58" s="5">
        <v>2378</v>
      </c>
      <c r="U58" s="5">
        <v>94.8</v>
      </c>
      <c r="V58" s="5">
        <f t="shared" si="3"/>
        <v>0</v>
      </c>
    </row>
    <row r="59" spans="1:22">
      <c r="A59" s="5" t="s">
        <v>36</v>
      </c>
      <c r="B59" s="6">
        <v>45689</v>
      </c>
      <c r="C59" s="5" t="s">
        <v>15</v>
      </c>
      <c r="D59" s="5">
        <f t="shared" si="0"/>
        <v>0</v>
      </c>
      <c r="E59" s="5">
        <f t="shared" si="1"/>
        <v>0</v>
      </c>
      <c r="F59" s="5">
        <f t="shared" si="2"/>
        <v>1</v>
      </c>
      <c r="G59" s="5" t="s">
        <v>21</v>
      </c>
      <c r="H59" s="5">
        <v>59405.68</v>
      </c>
      <c r="I59" s="5">
        <v>2515</v>
      </c>
      <c r="J59" s="5">
        <v>3.9E-2</v>
      </c>
      <c r="K59" s="5">
        <v>12</v>
      </c>
      <c r="L59" s="5">
        <v>76</v>
      </c>
      <c r="M59" s="5">
        <v>5.1100000000000003</v>
      </c>
      <c r="N59" s="5">
        <v>0</v>
      </c>
      <c r="O59" s="5">
        <v>3.7</v>
      </c>
      <c r="P59" s="5">
        <v>500298.48</v>
      </c>
      <c r="Q59" s="5">
        <v>73461.320000000007</v>
      </c>
      <c r="S59" s="5">
        <v>59405.68</v>
      </c>
      <c r="T59" s="5">
        <v>2515</v>
      </c>
      <c r="U59" s="5">
        <v>76</v>
      </c>
      <c r="V59" s="5">
        <f t="shared" si="3"/>
        <v>0</v>
      </c>
    </row>
    <row r="60" spans="1:22">
      <c r="A60" s="5" t="s">
        <v>36</v>
      </c>
      <c r="B60" s="6">
        <v>45717</v>
      </c>
      <c r="C60" s="5" t="s">
        <v>15</v>
      </c>
      <c r="D60" s="5">
        <f t="shared" si="0"/>
        <v>0</v>
      </c>
      <c r="E60" s="5">
        <f t="shared" si="1"/>
        <v>0</v>
      </c>
      <c r="F60" s="5">
        <f t="shared" si="2"/>
        <v>1</v>
      </c>
      <c r="G60" s="5" t="s">
        <v>21</v>
      </c>
      <c r="H60" s="5">
        <v>118910.48</v>
      </c>
      <c r="I60" s="5">
        <v>4022</v>
      </c>
      <c r="J60" s="5">
        <v>0.13700000000000001</v>
      </c>
      <c r="K60" s="5">
        <v>11</v>
      </c>
      <c r="L60" s="5">
        <v>87.1</v>
      </c>
      <c r="M60" s="5">
        <v>0.2</v>
      </c>
      <c r="N60" s="5">
        <v>0</v>
      </c>
      <c r="O60" s="5">
        <v>3.1</v>
      </c>
      <c r="P60" s="5">
        <v>617291.15</v>
      </c>
      <c r="Q60" s="5">
        <v>117782</v>
      </c>
      <c r="S60" s="5">
        <v>118910.48</v>
      </c>
      <c r="T60" s="5">
        <v>4022</v>
      </c>
      <c r="U60" s="5">
        <v>87.1</v>
      </c>
      <c r="V60" s="5">
        <f t="shared" si="3"/>
        <v>0</v>
      </c>
    </row>
    <row r="61" spans="1:22">
      <c r="A61" s="5" t="s">
        <v>36</v>
      </c>
      <c r="B61" s="6">
        <v>45748</v>
      </c>
      <c r="C61" s="5" t="s">
        <v>15</v>
      </c>
      <c r="D61" s="5">
        <f t="shared" si="0"/>
        <v>0</v>
      </c>
      <c r="E61" s="5">
        <f t="shared" si="1"/>
        <v>0</v>
      </c>
      <c r="F61" s="5">
        <f t="shared" si="2"/>
        <v>1</v>
      </c>
      <c r="G61" s="5" t="s">
        <v>21</v>
      </c>
      <c r="H61" s="5">
        <v>52952.12</v>
      </c>
      <c r="I61" s="5">
        <v>4377</v>
      </c>
      <c r="J61" s="5">
        <v>9.1999999999999998E-2</v>
      </c>
      <c r="K61" s="5">
        <v>14</v>
      </c>
      <c r="L61" s="5">
        <v>88.6</v>
      </c>
      <c r="M61" s="5">
        <v>13.59</v>
      </c>
      <c r="N61" s="5">
        <v>0</v>
      </c>
      <c r="O61" s="5">
        <v>3.1</v>
      </c>
      <c r="P61" s="5">
        <v>553756.43000000005</v>
      </c>
      <c r="Q61" s="5">
        <v>86166.77</v>
      </c>
      <c r="S61" s="5">
        <v>52952.12</v>
      </c>
      <c r="T61" s="5">
        <v>4377</v>
      </c>
      <c r="U61" s="5">
        <v>88.6</v>
      </c>
      <c r="V61" s="5">
        <f t="shared" si="3"/>
        <v>0</v>
      </c>
    </row>
    <row r="62" spans="1:22">
      <c r="A62" s="5" t="s">
        <v>37</v>
      </c>
      <c r="B62" s="6">
        <v>45658</v>
      </c>
      <c r="C62" s="5" t="s">
        <v>24</v>
      </c>
      <c r="D62" s="5">
        <f t="shared" si="0"/>
        <v>0</v>
      </c>
      <c r="E62" s="5">
        <f t="shared" si="1"/>
        <v>1</v>
      </c>
      <c r="F62" s="5">
        <f t="shared" si="2"/>
        <v>0</v>
      </c>
      <c r="G62" s="5" t="s">
        <v>18</v>
      </c>
      <c r="H62" s="5">
        <v>74907.98</v>
      </c>
      <c r="I62" s="5">
        <v>5306</v>
      </c>
      <c r="J62" s="5">
        <v>6.2E-2</v>
      </c>
      <c r="K62" s="5">
        <v>16</v>
      </c>
      <c r="L62" s="5">
        <v>95.6</v>
      </c>
      <c r="M62" s="5">
        <v>1.02</v>
      </c>
      <c r="N62" s="5">
        <v>0</v>
      </c>
      <c r="O62" s="5">
        <v>3.7</v>
      </c>
      <c r="P62" s="5">
        <v>749559.71</v>
      </c>
      <c r="Q62" s="5">
        <v>144522.53</v>
      </c>
      <c r="S62" s="5">
        <v>74907.98</v>
      </c>
      <c r="T62" s="5">
        <v>5306</v>
      </c>
      <c r="U62" s="5">
        <v>95.6</v>
      </c>
      <c r="V62" s="5">
        <f t="shared" si="3"/>
        <v>0</v>
      </c>
    </row>
    <row r="63" spans="1:22">
      <c r="A63" s="5" t="s">
        <v>37</v>
      </c>
      <c r="B63" s="6">
        <v>45689</v>
      </c>
      <c r="C63" s="5" t="s">
        <v>24</v>
      </c>
      <c r="D63" s="5">
        <f t="shared" si="0"/>
        <v>0</v>
      </c>
      <c r="E63" s="5">
        <f t="shared" si="1"/>
        <v>1</v>
      </c>
      <c r="F63" s="5">
        <f t="shared" si="2"/>
        <v>0</v>
      </c>
      <c r="G63" s="5" t="s">
        <v>18</v>
      </c>
      <c r="H63" s="5">
        <v>37284.660000000003</v>
      </c>
      <c r="I63" s="5">
        <v>3928</v>
      </c>
      <c r="J63" s="5">
        <v>7.3999999999999996E-2</v>
      </c>
      <c r="K63" s="5">
        <v>12</v>
      </c>
      <c r="L63" s="5">
        <v>86.5</v>
      </c>
      <c r="M63" s="5">
        <v>1.64</v>
      </c>
      <c r="N63" s="5">
        <v>0</v>
      </c>
      <c r="O63" s="5">
        <v>3.8</v>
      </c>
      <c r="P63" s="5">
        <v>615966.48</v>
      </c>
      <c r="Q63" s="5">
        <v>91509.38</v>
      </c>
      <c r="S63" s="5">
        <v>37284.660000000003</v>
      </c>
      <c r="T63" s="5">
        <v>3928</v>
      </c>
      <c r="U63" s="5">
        <v>86.5</v>
      </c>
      <c r="V63" s="5">
        <f t="shared" si="3"/>
        <v>0</v>
      </c>
    </row>
    <row r="64" spans="1:22">
      <c r="A64" s="5" t="s">
        <v>37</v>
      </c>
      <c r="B64" s="6">
        <v>45717</v>
      </c>
      <c r="C64" s="5" t="s">
        <v>24</v>
      </c>
      <c r="D64" s="5">
        <f t="shared" si="0"/>
        <v>0</v>
      </c>
      <c r="E64" s="5">
        <f t="shared" si="1"/>
        <v>1</v>
      </c>
      <c r="F64" s="5">
        <f t="shared" si="2"/>
        <v>0</v>
      </c>
      <c r="G64" s="5" t="s">
        <v>18</v>
      </c>
      <c r="H64" s="5">
        <v>50343.19</v>
      </c>
      <c r="I64" s="5">
        <v>3845</v>
      </c>
      <c r="J64" s="5">
        <v>0.113</v>
      </c>
      <c r="K64" s="5">
        <v>9</v>
      </c>
      <c r="L64" s="5">
        <v>88.7</v>
      </c>
      <c r="M64" s="5">
        <v>5.15</v>
      </c>
      <c r="N64" s="5">
        <v>0</v>
      </c>
      <c r="O64" s="5">
        <v>3.3</v>
      </c>
      <c r="P64" s="5">
        <v>572011.19999999995</v>
      </c>
      <c r="Q64" s="5">
        <v>101409.68</v>
      </c>
      <c r="S64" s="5">
        <v>50343.19</v>
      </c>
      <c r="T64" s="5">
        <v>3845</v>
      </c>
      <c r="U64" s="5">
        <v>88.7</v>
      </c>
      <c r="V64" s="5">
        <f t="shared" si="3"/>
        <v>0</v>
      </c>
    </row>
    <row r="65" spans="1:22">
      <c r="A65" s="5" t="s">
        <v>37</v>
      </c>
      <c r="B65" s="6">
        <v>45748</v>
      </c>
      <c r="C65" s="5" t="s">
        <v>24</v>
      </c>
      <c r="D65" s="5">
        <f t="shared" si="0"/>
        <v>0</v>
      </c>
      <c r="E65" s="5">
        <f t="shared" si="1"/>
        <v>1</v>
      </c>
      <c r="F65" s="5">
        <f t="shared" si="2"/>
        <v>0</v>
      </c>
      <c r="G65" s="5" t="s">
        <v>18</v>
      </c>
      <c r="H65" s="5">
        <v>74954.47</v>
      </c>
      <c r="I65" s="5">
        <v>6620</v>
      </c>
      <c r="J65" s="5">
        <v>5.3999999999999999E-2</v>
      </c>
      <c r="K65" s="5">
        <v>17</v>
      </c>
      <c r="L65" s="5">
        <v>91.1</v>
      </c>
      <c r="M65" s="5">
        <v>1.1100000000000001</v>
      </c>
      <c r="N65" s="5">
        <v>0</v>
      </c>
      <c r="O65" s="5">
        <v>3.5</v>
      </c>
      <c r="P65" s="5">
        <v>761860.19</v>
      </c>
      <c r="Q65" s="5">
        <v>133279.38</v>
      </c>
      <c r="S65" s="5">
        <v>74954.47</v>
      </c>
      <c r="T65" s="5">
        <v>6620</v>
      </c>
      <c r="U65" s="5">
        <v>91.1</v>
      </c>
      <c r="V65" s="5">
        <f t="shared" si="3"/>
        <v>0</v>
      </c>
    </row>
    <row r="66" spans="1:22">
      <c r="A66" s="5" t="s">
        <v>38</v>
      </c>
      <c r="B66" s="6">
        <v>45658</v>
      </c>
      <c r="C66" s="5" t="s">
        <v>27</v>
      </c>
      <c r="D66" s="5">
        <f t="shared" si="0"/>
        <v>0</v>
      </c>
      <c r="E66" s="5">
        <f t="shared" si="1"/>
        <v>0</v>
      </c>
      <c r="F66" s="5">
        <f t="shared" si="2"/>
        <v>0</v>
      </c>
      <c r="G66" s="5" t="s">
        <v>18</v>
      </c>
      <c r="H66" s="5">
        <v>70040.31</v>
      </c>
      <c r="I66" s="5">
        <v>9175</v>
      </c>
      <c r="J66" s="5">
        <v>0.107</v>
      </c>
      <c r="K66" s="5">
        <v>23</v>
      </c>
      <c r="L66" s="5">
        <v>95.1</v>
      </c>
      <c r="M66" s="5">
        <v>6.08</v>
      </c>
      <c r="N66" s="5">
        <v>1</v>
      </c>
      <c r="O66" s="5">
        <v>3.4</v>
      </c>
      <c r="P66" s="5">
        <v>784502.68</v>
      </c>
      <c r="Q66" s="5">
        <v>129519.72</v>
      </c>
      <c r="S66" s="5">
        <v>70040.31</v>
      </c>
      <c r="T66" s="5">
        <v>9175</v>
      </c>
      <c r="U66" s="5">
        <v>95.1</v>
      </c>
      <c r="V66" s="5">
        <f t="shared" si="3"/>
        <v>0</v>
      </c>
    </row>
    <row r="67" spans="1:22">
      <c r="A67" s="5" t="s">
        <v>38</v>
      </c>
      <c r="B67" s="6">
        <v>45689</v>
      </c>
      <c r="C67" s="5" t="s">
        <v>27</v>
      </c>
      <c r="D67" s="5">
        <f t="shared" ref="D67:D130" si="4">IF(C67="North",1,0)</f>
        <v>0</v>
      </c>
      <c r="E67" s="5">
        <f t="shared" ref="E67:E130" si="5">IF(C67="South",1,0)</f>
        <v>0</v>
      </c>
      <c r="F67" s="5">
        <f t="shared" ref="F67:F130" si="6">IF(C67="East",1,0)</f>
        <v>0</v>
      </c>
      <c r="G67" s="5" t="s">
        <v>18</v>
      </c>
      <c r="H67" s="5">
        <v>51148.69</v>
      </c>
      <c r="I67" s="5">
        <v>7940</v>
      </c>
      <c r="J67" s="5">
        <v>0.156</v>
      </c>
      <c r="K67" s="5">
        <v>18</v>
      </c>
      <c r="L67" s="5">
        <v>93.3</v>
      </c>
      <c r="M67" s="5">
        <v>10.91</v>
      </c>
      <c r="N67" s="5">
        <v>0</v>
      </c>
      <c r="O67" s="5">
        <v>3.6</v>
      </c>
      <c r="P67" s="5">
        <v>717141.55</v>
      </c>
      <c r="Q67" s="5">
        <v>134013.60999999999</v>
      </c>
      <c r="S67" s="5">
        <v>51148.69</v>
      </c>
      <c r="T67" s="5">
        <v>7940</v>
      </c>
      <c r="U67" s="5">
        <v>93.3</v>
      </c>
      <c r="V67" s="5">
        <f t="shared" ref="V67:V130" si="7">IF(U67="North",1,0)</f>
        <v>0</v>
      </c>
    </row>
    <row r="68" spans="1:22">
      <c r="A68" s="5" t="s">
        <v>38</v>
      </c>
      <c r="B68" s="6">
        <v>45717</v>
      </c>
      <c r="C68" s="5" t="s">
        <v>27</v>
      </c>
      <c r="D68" s="5">
        <f t="shared" si="4"/>
        <v>0</v>
      </c>
      <c r="E68" s="5">
        <f t="shared" si="5"/>
        <v>0</v>
      </c>
      <c r="F68" s="5">
        <f t="shared" si="6"/>
        <v>0</v>
      </c>
      <c r="G68" s="5" t="s">
        <v>18</v>
      </c>
      <c r="H68" s="5">
        <v>79346.100000000006</v>
      </c>
      <c r="I68" s="5">
        <v>9628</v>
      </c>
      <c r="J68" s="5">
        <v>0.10199999999999999</v>
      </c>
      <c r="K68" s="5">
        <v>20</v>
      </c>
      <c r="L68" s="5">
        <v>99</v>
      </c>
      <c r="M68" s="5">
        <v>19.010000000000002</v>
      </c>
      <c r="N68" s="5">
        <v>1</v>
      </c>
      <c r="O68" s="5">
        <v>3.2</v>
      </c>
      <c r="P68" s="5">
        <v>685379.08</v>
      </c>
      <c r="Q68" s="5">
        <v>106898.82</v>
      </c>
      <c r="S68" s="5">
        <v>79346.100000000006</v>
      </c>
      <c r="T68" s="5">
        <v>9628</v>
      </c>
      <c r="U68" s="5">
        <v>99</v>
      </c>
      <c r="V68" s="5">
        <f t="shared" si="7"/>
        <v>0</v>
      </c>
    </row>
    <row r="69" spans="1:22">
      <c r="A69" s="5" t="s">
        <v>38</v>
      </c>
      <c r="B69" s="6">
        <v>45748</v>
      </c>
      <c r="C69" s="5" t="s">
        <v>27</v>
      </c>
      <c r="D69" s="5">
        <f t="shared" si="4"/>
        <v>0</v>
      </c>
      <c r="E69" s="5">
        <f t="shared" si="5"/>
        <v>0</v>
      </c>
      <c r="F69" s="5">
        <f t="shared" si="6"/>
        <v>0</v>
      </c>
      <c r="G69" s="5" t="s">
        <v>18</v>
      </c>
      <c r="H69" s="5">
        <v>42018.400000000001</v>
      </c>
      <c r="I69" s="5">
        <v>8296</v>
      </c>
      <c r="J69" s="5">
        <v>0.115</v>
      </c>
      <c r="K69" s="5">
        <v>17</v>
      </c>
      <c r="L69" s="5">
        <v>91.8</v>
      </c>
      <c r="M69" s="5">
        <v>0.77</v>
      </c>
      <c r="N69" s="5">
        <v>0</v>
      </c>
      <c r="O69" s="5">
        <v>3.4</v>
      </c>
      <c r="P69" s="5">
        <v>740496.65</v>
      </c>
      <c r="Q69" s="5">
        <v>128020.9</v>
      </c>
      <c r="S69" s="5">
        <v>42018.400000000001</v>
      </c>
      <c r="T69" s="5">
        <v>8296</v>
      </c>
      <c r="U69" s="5">
        <v>91.8</v>
      </c>
      <c r="V69" s="5">
        <f t="shared" si="7"/>
        <v>0</v>
      </c>
    </row>
    <row r="70" spans="1:22">
      <c r="A70" s="5" t="s">
        <v>39</v>
      </c>
      <c r="B70" s="6">
        <v>45658</v>
      </c>
      <c r="C70" s="5" t="s">
        <v>15</v>
      </c>
      <c r="D70" s="5">
        <f t="shared" si="4"/>
        <v>0</v>
      </c>
      <c r="E70" s="5">
        <f t="shared" si="5"/>
        <v>0</v>
      </c>
      <c r="F70" s="5">
        <f t="shared" si="6"/>
        <v>1</v>
      </c>
      <c r="G70" s="5" t="s">
        <v>18</v>
      </c>
      <c r="H70" s="5">
        <v>70937.240000000005</v>
      </c>
      <c r="I70" s="5">
        <v>3595</v>
      </c>
      <c r="J70" s="5">
        <v>0.14099999999999999</v>
      </c>
      <c r="K70" s="5">
        <v>11</v>
      </c>
      <c r="L70" s="5">
        <v>88.9</v>
      </c>
      <c r="M70" s="5">
        <v>2.83</v>
      </c>
      <c r="N70" s="5">
        <v>1</v>
      </c>
      <c r="O70" s="5">
        <v>3.3</v>
      </c>
      <c r="P70" s="5">
        <v>661927.14</v>
      </c>
      <c r="Q70" s="5">
        <v>79218.570000000007</v>
      </c>
      <c r="S70" s="5">
        <v>70937.240000000005</v>
      </c>
      <c r="T70" s="5">
        <v>3595</v>
      </c>
      <c r="U70" s="5">
        <v>88.9</v>
      </c>
      <c r="V70" s="5">
        <f t="shared" si="7"/>
        <v>0</v>
      </c>
    </row>
    <row r="71" spans="1:22">
      <c r="A71" s="5" t="s">
        <v>39</v>
      </c>
      <c r="B71" s="6">
        <v>45689</v>
      </c>
      <c r="C71" s="5" t="s">
        <v>15</v>
      </c>
      <c r="D71" s="5">
        <f t="shared" si="4"/>
        <v>0</v>
      </c>
      <c r="E71" s="5">
        <f t="shared" si="5"/>
        <v>0</v>
      </c>
      <c r="F71" s="5">
        <f t="shared" si="6"/>
        <v>1</v>
      </c>
      <c r="G71" s="5" t="s">
        <v>18</v>
      </c>
      <c r="H71" s="5">
        <v>36813.449999999997</v>
      </c>
      <c r="I71" s="5">
        <v>2834</v>
      </c>
      <c r="J71" s="5">
        <v>0.191</v>
      </c>
      <c r="K71" s="5">
        <v>11</v>
      </c>
      <c r="L71" s="5">
        <v>81.8</v>
      </c>
      <c r="M71" s="5">
        <v>2.33</v>
      </c>
      <c r="N71" s="5">
        <v>0</v>
      </c>
      <c r="O71" s="5">
        <v>3.3</v>
      </c>
      <c r="P71" s="5">
        <v>479050.5</v>
      </c>
      <c r="Q71" s="5">
        <v>53651.11</v>
      </c>
      <c r="S71" s="5">
        <v>36813.449999999997</v>
      </c>
      <c r="T71" s="5">
        <v>2834</v>
      </c>
      <c r="U71" s="5">
        <v>81.8</v>
      </c>
      <c r="V71" s="5">
        <f t="shared" si="7"/>
        <v>0</v>
      </c>
    </row>
    <row r="72" spans="1:22">
      <c r="A72" s="5" t="s">
        <v>39</v>
      </c>
      <c r="B72" s="6">
        <v>45717</v>
      </c>
      <c r="C72" s="5" t="s">
        <v>15</v>
      </c>
      <c r="D72" s="5">
        <f t="shared" si="4"/>
        <v>0</v>
      </c>
      <c r="E72" s="5">
        <f t="shared" si="5"/>
        <v>0</v>
      </c>
      <c r="F72" s="5">
        <f t="shared" si="6"/>
        <v>1</v>
      </c>
      <c r="G72" s="5" t="s">
        <v>18</v>
      </c>
      <c r="H72" s="5">
        <v>60571.82</v>
      </c>
      <c r="I72" s="5">
        <v>3193</v>
      </c>
      <c r="J72" s="5">
        <v>0.19700000000000001</v>
      </c>
      <c r="K72" s="5">
        <v>7</v>
      </c>
      <c r="L72" s="5">
        <v>99</v>
      </c>
      <c r="M72" s="5">
        <v>1.43</v>
      </c>
      <c r="N72" s="5">
        <v>0</v>
      </c>
      <c r="O72" s="5">
        <v>3.2</v>
      </c>
      <c r="P72" s="5">
        <v>605023.87</v>
      </c>
      <c r="Q72" s="5">
        <v>98545.81</v>
      </c>
      <c r="S72" s="5">
        <v>60571.82</v>
      </c>
      <c r="T72" s="5">
        <v>3193</v>
      </c>
      <c r="U72" s="5">
        <v>99</v>
      </c>
      <c r="V72" s="5">
        <f t="shared" si="7"/>
        <v>0</v>
      </c>
    </row>
    <row r="73" spans="1:22">
      <c r="A73" s="5" t="s">
        <v>39</v>
      </c>
      <c r="B73" s="6">
        <v>45748</v>
      </c>
      <c r="C73" s="5" t="s">
        <v>15</v>
      </c>
      <c r="D73" s="5">
        <f t="shared" si="4"/>
        <v>0</v>
      </c>
      <c r="E73" s="5">
        <f t="shared" si="5"/>
        <v>0</v>
      </c>
      <c r="F73" s="5">
        <f t="shared" si="6"/>
        <v>1</v>
      </c>
      <c r="G73" s="5" t="s">
        <v>18</v>
      </c>
      <c r="H73" s="5">
        <v>55081.16</v>
      </c>
      <c r="I73" s="5">
        <v>5485</v>
      </c>
      <c r="J73" s="5">
        <v>3.5999999999999997E-2</v>
      </c>
      <c r="K73" s="5">
        <v>12</v>
      </c>
      <c r="L73" s="5">
        <v>88</v>
      </c>
      <c r="M73" s="5"/>
      <c r="N73" s="5">
        <v>0</v>
      </c>
      <c r="O73" s="5">
        <v>3.5</v>
      </c>
      <c r="P73" s="5">
        <v>674774.09</v>
      </c>
      <c r="Q73" s="5">
        <v>141917.59</v>
      </c>
      <c r="S73" s="5">
        <v>55081.16</v>
      </c>
      <c r="T73" s="5">
        <v>5485</v>
      </c>
      <c r="U73" s="5">
        <v>88</v>
      </c>
      <c r="V73" s="5">
        <f t="shared" si="7"/>
        <v>0</v>
      </c>
    </row>
    <row r="74" spans="1:22">
      <c r="A74" s="5" t="s">
        <v>40</v>
      </c>
      <c r="B74" s="6">
        <v>45658</v>
      </c>
      <c r="C74" s="5" t="s">
        <v>15</v>
      </c>
      <c r="D74" s="5">
        <f t="shared" si="4"/>
        <v>0</v>
      </c>
      <c r="E74" s="5">
        <f t="shared" si="5"/>
        <v>0</v>
      </c>
      <c r="F74" s="5">
        <f t="shared" si="6"/>
        <v>1</v>
      </c>
      <c r="G74" s="5" t="s">
        <v>16</v>
      </c>
      <c r="H74" s="5">
        <v>46201.46</v>
      </c>
      <c r="I74" s="5">
        <v>5918</v>
      </c>
      <c r="J74" s="5">
        <v>0.27700000000000002</v>
      </c>
      <c r="K74" s="5">
        <v>13</v>
      </c>
      <c r="L74" s="5">
        <v>78.8</v>
      </c>
      <c r="M74" s="5">
        <v>4.91</v>
      </c>
      <c r="N74" s="5">
        <v>0</v>
      </c>
      <c r="O74" s="5">
        <v>4.5</v>
      </c>
      <c r="P74" s="5">
        <v>616069.41</v>
      </c>
      <c r="Q74" s="5">
        <v>54453.99</v>
      </c>
      <c r="S74" s="5">
        <v>46201.46</v>
      </c>
      <c r="T74" s="5">
        <v>5918</v>
      </c>
      <c r="U74" s="5">
        <v>78.8</v>
      </c>
      <c r="V74" s="5">
        <f t="shared" si="7"/>
        <v>0</v>
      </c>
    </row>
    <row r="75" spans="1:22">
      <c r="A75" s="5" t="s">
        <v>40</v>
      </c>
      <c r="B75" s="6">
        <v>45689</v>
      </c>
      <c r="C75" s="5" t="s">
        <v>15</v>
      </c>
      <c r="D75" s="5">
        <f t="shared" si="4"/>
        <v>0</v>
      </c>
      <c r="E75" s="5">
        <f t="shared" si="5"/>
        <v>0</v>
      </c>
      <c r="F75" s="5">
        <f t="shared" si="6"/>
        <v>1</v>
      </c>
      <c r="G75" s="5" t="s">
        <v>16</v>
      </c>
      <c r="H75" s="5">
        <v>53762.92</v>
      </c>
      <c r="I75" s="5">
        <v>6821</v>
      </c>
      <c r="J75" s="5">
        <v>6.6000000000000003E-2</v>
      </c>
      <c r="K75" s="5">
        <v>19</v>
      </c>
      <c r="L75" s="5">
        <v>94.6</v>
      </c>
      <c r="M75" s="5">
        <v>7.03</v>
      </c>
      <c r="N75" s="5">
        <v>0</v>
      </c>
      <c r="O75" s="5">
        <v>4.4000000000000004</v>
      </c>
      <c r="P75" s="5">
        <v>630829.93999999994</v>
      </c>
      <c r="Q75" s="5">
        <v>117090.02</v>
      </c>
      <c r="S75" s="5">
        <v>53762.92</v>
      </c>
      <c r="T75" s="5">
        <v>6821</v>
      </c>
      <c r="U75" s="5">
        <v>94.6</v>
      </c>
      <c r="V75" s="5">
        <f t="shared" si="7"/>
        <v>0</v>
      </c>
    </row>
    <row r="76" spans="1:22">
      <c r="A76" s="5" t="s">
        <v>40</v>
      </c>
      <c r="B76" s="6">
        <v>45717</v>
      </c>
      <c r="C76" s="5" t="s">
        <v>15</v>
      </c>
      <c r="D76" s="5">
        <f t="shared" si="4"/>
        <v>0</v>
      </c>
      <c r="E76" s="5">
        <f t="shared" si="5"/>
        <v>0</v>
      </c>
      <c r="F76" s="5">
        <f t="shared" si="6"/>
        <v>1</v>
      </c>
      <c r="G76" s="5" t="s">
        <v>16</v>
      </c>
      <c r="H76" s="5">
        <v>70144.78</v>
      </c>
      <c r="I76" s="5">
        <v>6806</v>
      </c>
      <c r="J76" s="5">
        <v>0.17799999999999999</v>
      </c>
      <c r="K76" s="5">
        <v>20</v>
      </c>
      <c r="L76" s="5">
        <v>93.1</v>
      </c>
      <c r="M76" s="5">
        <v>0.28000000000000003</v>
      </c>
      <c r="N76" s="5">
        <v>1</v>
      </c>
      <c r="O76" s="5">
        <v>4.3</v>
      </c>
      <c r="P76" s="5">
        <v>788087.68</v>
      </c>
      <c r="Q76" s="5">
        <v>116803.42</v>
      </c>
      <c r="S76" s="5">
        <v>70144.78</v>
      </c>
      <c r="T76" s="5">
        <v>6806</v>
      </c>
      <c r="U76" s="5">
        <v>93.1</v>
      </c>
      <c r="V76" s="5">
        <f t="shared" si="7"/>
        <v>0</v>
      </c>
    </row>
    <row r="77" spans="1:22">
      <c r="A77" s="5" t="s">
        <v>40</v>
      </c>
      <c r="B77" s="6">
        <v>45748</v>
      </c>
      <c r="C77" s="5" t="s">
        <v>15</v>
      </c>
      <c r="D77" s="5">
        <f t="shared" si="4"/>
        <v>0</v>
      </c>
      <c r="E77" s="5">
        <f t="shared" si="5"/>
        <v>0</v>
      </c>
      <c r="F77" s="5">
        <f t="shared" si="6"/>
        <v>1</v>
      </c>
      <c r="G77" s="5" t="s">
        <v>16</v>
      </c>
      <c r="H77" s="5">
        <v>58749.63</v>
      </c>
      <c r="I77" s="5">
        <v>8252</v>
      </c>
      <c r="J77" s="5">
        <v>0.20300000000000001</v>
      </c>
      <c r="K77" s="5">
        <v>20</v>
      </c>
      <c r="L77" s="5">
        <v>85.2</v>
      </c>
      <c r="M77" s="5">
        <v>3.61</v>
      </c>
      <c r="N77" s="5">
        <v>0</v>
      </c>
      <c r="O77" s="5">
        <v>4.5</v>
      </c>
      <c r="P77" s="5">
        <v>680840.36</v>
      </c>
      <c r="Q77" s="5">
        <v>68007.679999999993</v>
      </c>
      <c r="S77" s="5">
        <v>58749.63</v>
      </c>
      <c r="T77" s="5">
        <v>8252</v>
      </c>
      <c r="U77" s="5">
        <v>85.2</v>
      </c>
      <c r="V77" s="5">
        <f t="shared" si="7"/>
        <v>0</v>
      </c>
    </row>
    <row r="78" spans="1:22">
      <c r="A78" s="5" t="s">
        <v>41</v>
      </c>
      <c r="B78" s="6">
        <v>45658</v>
      </c>
      <c r="C78" s="5" t="s">
        <v>24</v>
      </c>
      <c r="D78" s="5">
        <f t="shared" si="4"/>
        <v>0</v>
      </c>
      <c r="E78" s="5">
        <f t="shared" si="5"/>
        <v>1</v>
      </c>
      <c r="F78" s="5">
        <f t="shared" si="6"/>
        <v>0</v>
      </c>
      <c r="G78" s="5" t="s">
        <v>18</v>
      </c>
      <c r="H78" s="5">
        <v>56973.18</v>
      </c>
      <c r="I78" s="5">
        <v>6662</v>
      </c>
      <c r="J78" s="5">
        <v>0.1</v>
      </c>
      <c r="K78" s="5">
        <v>15</v>
      </c>
      <c r="L78" s="5">
        <v>77.7</v>
      </c>
      <c r="M78" s="5">
        <v>7.52</v>
      </c>
      <c r="N78" s="5">
        <v>1</v>
      </c>
      <c r="O78" s="5">
        <v>3.2</v>
      </c>
      <c r="P78" s="5">
        <v>643657.47</v>
      </c>
      <c r="Q78" s="5">
        <v>87022.45</v>
      </c>
      <c r="S78" s="5">
        <v>56973.18</v>
      </c>
      <c r="T78" s="5">
        <v>6662</v>
      </c>
      <c r="U78" s="5">
        <v>77.7</v>
      </c>
      <c r="V78" s="5">
        <f t="shared" si="7"/>
        <v>0</v>
      </c>
    </row>
    <row r="79" spans="1:22">
      <c r="A79" s="5" t="s">
        <v>41</v>
      </c>
      <c r="B79" s="6">
        <v>45689</v>
      </c>
      <c r="C79" s="5" t="s">
        <v>24</v>
      </c>
      <c r="D79" s="5">
        <f t="shared" si="4"/>
        <v>0</v>
      </c>
      <c r="E79" s="5">
        <f t="shared" si="5"/>
        <v>1</v>
      </c>
      <c r="F79" s="5">
        <f t="shared" si="6"/>
        <v>0</v>
      </c>
      <c r="G79" s="5" t="s">
        <v>18</v>
      </c>
      <c r="H79" s="5">
        <v>54872.82</v>
      </c>
      <c r="I79" s="5">
        <v>5962</v>
      </c>
      <c r="J79" s="5">
        <v>6.4000000000000001E-2</v>
      </c>
      <c r="K79" s="5">
        <v>12</v>
      </c>
      <c r="L79" s="5">
        <v>85.4</v>
      </c>
      <c r="M79" s="5">
        <v>2.58</v>
      </c>
      <c r="N79" s="5">
        <v>0</v>
      </c>
      <c r="O79" s="5">
        <v>2.9</v>
      </c>
      <c r="P79" s="5">
        <v>691112.6</v>
      </c>
      <c r="Q79" s="5">
        <v>109212.83</v>
      </c>
      <c r="S79" s="5">
        <v>54872.82</v>
      </c>
      <c r="T79" s="5">
        <v>5962</v>
      </c>
      <c r="U79" s="5">
        <v>85.4</v>
      </c>
      <c r="V79" s="5">
        <f t="shared" si="7"/>
        <v>0</v>
      </c>
    </row>
    <row r="80" spans="1:22">
      <c r="A80" s="5" t="s">
        <v>41</v>
      </c>
      <c r="B80" s="6">
        <v>45717</v>
      </c>
      <c r="C80" s="5" t="s">
        <v>24</v>
      </c>
      <c r="D80" s="5">
        <f t="shared" si="4"/>
        <v>0</v>
      </c>
      <c r="E80" s="5">
        <f t="shared" si="5"/>
        <v>1</v>
      </c>
      <c r="F80" s="5">
        <f t="shared" si="6"/>
        <v>0</v>
      </c>
      <c r="G80" s="5" t="s">
        <v>18</v>
      </c>
      <c r="H80" s="5">
        <v>80562.81</v>
      </c>
      <c r="I80" s="5">
        <v>7470</v>
      </c>
      <c r="J80" s="5">
        <v>0.17199999999999999</v>
      </c>
      <c r="K80" s="5">
        <v>16</v>
      </c>
      <c r="L80" s="5">
        <v>83.5</v>
      </c>
      <c r="M80" s="5">
        <v>2.29</v>
      </c>
      <c r="N80" s="5">
        <v>0</v>
      </c>
      <c r="O80" s="5">
        <v>3.3</v>
      </c>
      <c r="P80" s="5">
        <v>776922.17</v>
      </c>
      <c r="Q80" s="5">
        <v>150701.93</v>
      </c>
      <c r="S80" s="5">
        <v>80562.81</v>
      </c>
      <c r="T80" s="5">
        <v>7470</v>
      </c>
      <c r="U80" s="5">
        <v>83.5</v>
      </c>
      <c r="V80" s="5">
        <f t="shared" si="7"/>
        <v>0</v>
      </c>
    </row>
    <row r="81" spans="1:22">
      <c r="A81" s="5" t="s">
        <v>41</v>
      </c>
      <c r="B81" s="6">
        <v>45748</v>
      </c>
      <c r="C81" s="5" t="s">
        <v>24</v>
      </c>
      <c r="D81" s="5">
        <f t="shared" si="4"/>
        <v>0</v>
      </c>
      <c r="E81" s="5">
        <f t="shared" si="5"/>
        <v>1</v>
      </c>
      <c r="F81" s="5">
        <f t="shared" si="6"/>
        <v>0</v>
      </c>
      <c r="G81" s="5" t="s">
        <v>18</v>
      </c>
      <c r="H81" s="5">
        <v>77999.899999999994</v>
      </c>
      <c r="I81" s="5">
        <v>5974</v>
      </c>
      <c r="J81" s="5">
        <v>0.252</v>
      </c>
      <c r="K81" s="5">
        <v>14</v>
      </c>
      <c r="L81" s="5">
        <v>81.3</v>
      </c>
      <c r="M81" s="5">
        <v>2.39</v>
      </c>
      <c r="N81" s="5">
        <v>0</v>
      </c>
      <c r="O81" s="5">
        <v>3.2</v>
      </c>
      <c r="P81" s="5">
        <v>636561.34</v>
      </c>
      <c r="Q81" s="5">
        <v>93861.06</v>
      </c>
      <c r="S81" s="5">
        <v>77999.899999999994</v>
      </c>
      <c r="T81" s="5">
        <v>5974</v>
      </c>
      <c r="U81" s="5">
        <v>81.3</v>
      </c>
      <c r="V81" s="5">
        <f t="shared" si="7"/>
        <v>0</v>
      </c>
    </row>
    <row r="82" spans="1:22">
      <c r="A82" s="5" t="s">
        <v>42</v>
      </c>
      <c r="B82" s="6">
        <v>45658</v>
      </c>
      <c r="C82" s="5" t="s">
        <v>27</v>
      </c>
      <c r="D82" s="5">
        <f t="shared" si="4"/>
        <v>0</v>
      </c>
      <c r="E82" s="5">
        <f t="shared" si="5"/>
        <v>0</v>
      </c>
      <c r="F82" s="5">
        <f t="shared" si="6"/>
        <v>0</v>
      </c>
      <c r="G82" s="5" t="s">
        <v>28</v>
      </c>
      <c r="H82" s="5">
        <v>60881.01</v>
      </c>
      <c r="I82" s="5">
        <v>5410</v>
      </c>
      <c r="J82" s="5">
        <v>0.17899999999999999</v>
      </c>
      <c r="K82" s="5">
        <v>15</v>
      </c>
      <c r="L82" s="5">
        <v>83.9</v>
      </c>
      <c r="M82" s="5">
        <v>5.24</v>
      </c>
      <c r="N82" s="5">
        <v>0</v>
      </c>
      <c r="O82" s="5">
        <v>4.5999999999999996</v>
      </c>
      <c r="P82" s="5">
        <v>621369.57999999996</v>
      </c>
      <c r="Q82" s="5">
        <v>85493.64</v>
      </c>
      <c r="S82" s="5">
        <v>60881.01</v>
      </c>
      <c r="T82" s="5">
        <v>5410</v>
      </c>
      <c r="U82" s="5">
        <v>83.9</v>
      </c>
      <c r="V82" s="5">
        <f t="shared" si="7"/>
        <v>0</v>
      </c>
    </row>
    <row r="83" spans="1:22">
      <c r="A83" s="5" t="s">
        <v>42</v>
      </c>
      <c r="B83" s="6">
        <v>45689</v>
      </c>
      <c r="C83" s="5" t="s">
        <v>27</v>
      </c>
      <c r="D83" s="5">
        <f t="shared" si="4"/>
        <v>0</v>
      </c>
      <c r="E83" s="5">
        <f t="shared" si="5"/>
        <v>0</v>
      </c>
      <c r="F83" s="5">
        <f t="shared" si="6"/>
        <v>0</v>
      </c>
      <c r="G83" s="5" t="s">
        <v>28</v>
      </c>
      <c r="H83" s="5">
        <v>60628.38</v>
      </c>
      <c r="I83" s="5">
        <v>4451</v>
      </c>
      <c r="J83" s="5">
        <v>9.5000000000000001E-2</v>
      </c>
      <c r="K83" s="5">
        <v>10</v>
      </c>
      <c r="L83" s="5">
        <v>89.6</v>
      </c>
      <c r="M83" s="5">
        <v>3.17</v>
      </c>
      <c r="N83" s="5">
        <v>0</v>
      </c>
      <c r="O83" s="5">
        <v>4.5999999999999996</v>
      </c>
      <c r="P83" s="5">
        <v>682208.01</v>
      </c>
      <c r="Q83" s="5">
        <v>110318.84</v>
      </c>
      <c r="S83" s="5">
        <v>60628.38</v>
      </c>
      <c r="T83" s="5">
        <v>4451</v>
      </c>
      <c r="U83" s="5">
        <v>89.6</v>
      </c>
      <c r="V83" s="5">
        <f t="shared" si="7"/>
        <v>0</v>
      </c>
    </row>
    <row r="84" spans="1:22">
      <c r="A84" s="5" t="s">
        <v>42</v>
      </c>
      <c r="B84" s="6">
        <v>45717</v>
      </c>
      <c r="C84" s="5" t="s">
        <v>27</v>
      </c>
      <c r="D84" s="5">
        <f t="shared" si="4"/>
        <v>0</v>
      </c>
      <c r="E84" s="5">
        <f t="shared" si="5"/>
        <v>0</v>
      </c>
      <c r="F84" s="5">
        <f t="shared" si="6"/>
        <v>0</v>
      </c>
      <c r="G84" s="5" t="s">
        <v>28</v>
      </c>
      <c r="H84" s="5">
        <v>72731.14</v>
      </c>
      <c r="I84" s="5">
        <v>4644</v>
      </c>
      <c r="J84" s="5">
        <v>8.4000000000000005E-2</v>
      </c>
      <c r="K84" s="5">
        <v>15</v>
      </c>
      <c r="L84" s="5">
        <v>87.1</v>
      </c>
      <c r="M84" s="5">
        <v>2.66</v>
      </c>
      <c r="N84" s="5">
        <v>0</v>
      </c>
      <c r="O84" s="5">
        <v>4.5999999999999996</v>
      </c>
      <c r="P84" s="5">
        <v>727241.86</v>
      </c>
      <c r="Q84" s="5">
        <v>155810.29999999999</v>
      </c>
      <c r="S84" s="5">
        <v>72731.14</v>
      </c>
      <c r="T84" s="5">
        <v>4644</v>
      </c>
      <c r="U84" s="5">
        <v>87.1</v>
      </c>
      <c r="V84" s="5">
        <f t="shared" si="7"/>
        <v>0</v>
      </c>
    </row>
    <row r="85" spans="1:22">
      <c r="A85" s="5" t="s">
        <v>42</v>
      </c>
      <c r="B85" s="6">
        <v>45748</v>
      </c>
      <c r="C85" s="5" t="s">
        <v>27</v>
      </c>
      <c r="D85" s="5">
        <f t="shared" si="4"/>
        <v>0</v>
      </c>
      <c r="E85" s="5">
        <f t="shared" si="5"/>
        <v>0</v>
      </c>
      <c r="F85" s="5">
        <f t="shared" si="6"/>
        <v>0</v>
      </c>
      <c r="G85" s="5" t="s">
        <v>28</v>
      </c>
      <c r="H85" s="5">
        <v>36475.71</v>
      </c>
      <c r="I85" s="5">
        <v>3559</v>
      </c>
      <c r="J85" s="5">
        <v>0.03</v>
      </c>
      <c r="K85" s="5">
        <v>8</v>
      </c>
      <c r="L85" s="5">
        <v>83.6</v>
      </c>
      <c r="M85" s="5">
        <v>1.41</v>
      </c>
      <c r="N85" s="5">
        <v>0</v>
      </c>
      <c r="O85" s="5">
        <v>4.2</v>
      </c>
      <c r="P85" s="5">
        <v>569100.78</v>
      </c>
      <c r="Q85" s="5">
        <v>104808.78</v>
      </c>
      <c r="S85" s="5">
        <v>36475.71</v>
      </c>
      <c r="T85" s="5">
        <v>3559</v>
      </c>
      <c r="U85" s="5">
        <v>83.6</v>
      </c>
      <c r="V85" s="5">
        <f t="shared" si="7"/>
        <v>0</v>
      </c>
    </row>
    <row r="86" spans="1:22">
      <c r="A86" s="5" t="s">
        <v>43</v>
      </c>
      <c r="B86" s="6">
        <v>45658</v>
      </c>
      <c r="C86" s="5" t="s">
        <v>27</v>
      </c>
      <c r="D86" s="5">
        <f t="shared" si="4"/>
        <v>0</v>
      </c>
      <c r="E86" s="5">
        <f t="shared" si="5"/>
        <v>0</v>
      </c>
      <c r="F86" s="5">
        <f t="shared" si="6"/>
        <v>0</v>
      </c>
      <c r="G86" s="5" t="s">
        <v>18</v>
      </c>
      <c r="H86" s="5">
        <v>55388.11</v>
      </c>
      <c r="I86" s="5">
        <v>3091</v>
      </c>
      <c r="J86" s="5">
        <v>0.108</v>
      </c>
      <c r="K86" s="5">
        <v>7</v>
      </c>
      <c r="L86" s="5">
        <v>85.4</v>
      </c>
      <c r="M86" s="5">
        <v>7.34</v>
      </c>
      <c r="N86" s="5">
        <v>0</v>
      </c>
      <c r="O86" s="5">
        <v>4.9000000000000004</v>
      </c>
      <c r="P86" s="5">
        <v>574436.29</v>
      </c>
      <c r="Q86" s="5">
        <v>80271.990000000005</v>
      </c>
      <c r="S86" s="5">
        <v>55388.11</v>
      </c>
      <c r="T86" s="5">
        <v>3091</v>
      </c>
      <c r="U86" s="5">
        <v>85.4</v>
      </c>
      <c r="V86" s="5">
        <f t="shared" si="7"/>
        <v>0</v>
      </c>
    </row>
    <row r="87" spans="1:22">
      <c r="A87" s="5" t="s">
        <v>43</v>
      </c>
      <c r="B87" s="6">
        <v>45689</v>
      </c>
      <c r="C87" s="5" t="s">
        <v>27</v>
      </c>
      <c r="D87" s="5">
        <f t="shared" si="4"/>
        <v>0</v>
      </c>
      <c r="E87" s="5">
        <f t="shared" si="5"/>
        <v>0</v>
      </c>
      <c r="F87" s="5">
        <f t="shared" si="6"/>
        <v>0</v>
      </c>
      <c r="G87" s="5" t="s">
        <v>18</v>
      </c>
      <c r="H87" s="5">
        <v>88443.77</v>
      </c>
      <c r="I87" s="5">
        <v>4004</v>
      </c>
      <c r="J87" s="5">
        <v>0.20599999999999999</v>
      </c>
      <c r="K87" s="5">
        <v>11</v>
      </c>
      <c r="L87" s="5">
        <v>91.9</v>
      </c>
      <c r="M87" s="5">
        <v>5.95</v>
      </c>
      <c r="N87" s="5">
        <v>0</v>
      </c>
      <c r="O87" s="5"/>
      <c r="P87" s="5">
        <v>611766.72</v>
      </c>
      <c r="Q87" s="5">
        <v>88275.61</v>
      </c>
      <c r="S87" s="5">
        <v>88443.77</v>
      </c>
      <c r="T87" s="5">
        <v>4004</v>
      </c>
      <c r="U87" s="5">
        <v>91.9</v>
      </c>
      <c r="V87" s="5">
        <f t="shared" si="7"/>
        <v>0</v>
      </c>
    </row>
    <row r="88" spans="1:22">
      <c r="A88" s="5" t="s">
        <v>43</v>
      </c>
      <c r="B88" s="6">
        <v>45717</v>
      </c>
      <c r="C88" s="5" t="s">
        <v>27</v>
      </c>
      <c r="D88" s="5">
        <f t="shared" si="4"/>
        <v>0</v>
      </c>
      <c r="E88" s="5">
        <f t="shared" si="5"/>
        <v>0</v>
      </c>
      <c r="F88" s="5">
        <f t="shared" si="6"/>
        <v>0</v>
      </c>
      <c r="G88" s="5" t="s">
        <v>18</v>
      </c>
      <c r="H88" s="5">
        <v>78231.91</v>
      </c>
      <c r="I88" s="5">
        <v>3788</v>
      </c>
      <c r="J88" s="5">
        <v>5.8999999999999997E-2</v>
      </c>
      <c r="K88" s="5">
        <v>11</v>
      </c>
      <c r="L88" s="5">
        <v>88.5</v>
      </c>
      <c r="M88" s="5">
        <v>15.51</v>
      </c>
      <c r="N88" s="5">
        <v>0</v>
      </c>
      <c r="O88" s="5">
        <v>4.3</v>
      </c>
      <c r="P88" s="5">
        <v>614596.31999999995</v>
      </c>
      <c r="Q88" s="5">
        <v>131199.41</v>
      </c>
      <c r="S88" s="5">
        <v>78231.91</v>
      </c>
      <c r="T88" s="5">
        <v>3788</v>
      </c>
      <c r="U88" s="5">
        <v>88.5</v>
      </c>
      <c r="V88" s="5">
        <f t="shared" si="7"/>
        <v>0</v>
      </c>
    </row>
    <row r="89" spans="1:22">
      <c r="A89" s="5" t="s">
        <v>43</v>
      </c>
      <c r="B89" s="6">
        <v>45748</v>
      </c>
      <c r="C89" s="5" t="s">
        <v>27</v>
      </c>
      <c r="D89" s="5">
        <f t="shared" si="4"/>
        <v>0</v>
      </c>
      <c r="E89" s="5">
        <f t="shared" si="5"/>
        <v>0</v>
      </c>
      <c r="F89" s="5">
        <f t="shared" si="6"/>
        <v>0</v>
      </c>
      <c r="G89" s="5" t="s">
        <v>18</v>
      </c>
      <c r="H89" s="5">
        <v>18996.32</v>
      </c>
      <c r="I89" s="5">
        <v>1260</v>
      </c>
      <c r="J89" s="5">
        <v>0.14499999999999999</v>
      </c>
      <c r="K89" s="5">
        <v>9</v>
      </c>
      <c r="L89" s="5">
        <v>86.4</v>
      </c>
      <c r="M89" s="5">
        <v>4.3099999999999996</v>
      </c>
      <c r="N89" s="5">
        <v>0</v>
      </c>
      <c r="O89" s="5">
        <v>4.5999999999999996</v>
      </c>
      <c r="P89" s="5">
        <v>450711.92</v>
      </c>
      <c r="Q89" s="5">
        <v>90043.76</v>
      </c>
      <c r="S89" s="5">
        <v>18996.32</v>
      </c>
      <c r="T89" s="5">
        <v>1260</v>
      </c>
      <c r="U89" s="5">
        <v>86.4</v>
      </c>
      <c r="V89" s="5">
        <f t="shared" si="7"/>
        <v>0</v>
      </c>
    </row>
    <row r="90" spans="1:22">
      <c r="A90" s="5" t="s">
        <v>44</v>
      </c>
      <c r="B90" s="6">
        <v>45658</v>
      </c>
      <c r="C90" s="5" t="s">
        <v>24</v>
      </c>
      <c r="D90" s="5">
        <f t="shared" si="4"/>
        <v>0</v>
      </c>
      <c r="E90" s="5">
        <f t="shared" si="5"/>
        <v>1</v>
      </c>
      <c r="F90" s="5">
        <f t="shared" si="6"/>
        <v>0</v>
      </c>
      <c r="G90" s="5" t="s">
        <v>28</v>
      </c>
      <c r="H90" s="5">
        <v>50517.94</v>
      </c>
      <c r="I90" s="5">
        <v>7024</v>
      </c>
      <c r="J90" s="5">
        <v>2.9000000000000001E-2</v>
      </c>
      <c r="K90" s="5">
        <v>18</v>
      </c>
      <c r="L90" s="5">
        <v>79.2</v>
      </c>
      <c r="M90" s="5">
        <v>6.61</v>
      </c>
      <c r="N90" s="5">
        <v>1</v>
      </c>
      <c r="O90" s="5">
        <v>4.0999999999999996</v>
      </c>
      <c r="P90" s="5">
        <v>711213.46</v>
      </c>
      <c r="Q90" s="5">
        <v>105863.26</v>
      </c>
      <c r="S90" s="5">
        <v>50517.94</v>
      </c>
      <c r="T90" s="5">
        <v>7024</v>
      </c>
      <c r="U90" s="5">
        <v>79.2</v>
      </c>
      <c r="V90" s="5">
        <f t="shared" si="7"/>
        <v>0</v>
      </c>
    </row>
    <row r="91" spans="1:22">
      <c r="A91" s="5" t="s">
        <v>44</v>
      </c>
      <c r="B91" s="6">
        <v>45689</v>
      </c>
      <c r="C91" s="5" t="s">
        <v>24</v>
      </c>
      <c r="D91" s="5">
        <f t="shared" si="4"/>
        <v>0</v>
      </c>
      <c r="E91" s="5">
        <f t="shared" si="5"/>
        <v>1</v>
      </c>
      <c r="F91" s="5">
        <f t="shared" si="6"/>
        <v>0</v>
      </c>
      <c r="G91" s="5" t="s">
        <v>28</v>
      </c>
      <c r="H91" s="5">
        <v>141540.29</v>
      </c>
      <c r="I91" s="5">
        <v>5400</v>
      </c>
      <c r="J91" s="5">
        <v>1.2999999999999999E-2</v>
      </c>
      <c r="K91" s="5">
        <v>12</v>
      </c>
      <c r="L91" s="5">
        <v>87</v>
      </c>
      <c r="M91" s="5">
        <v>4.26</v>
      </c>
      <c r="N91" s="5">
        <v>0</v>
      </c>
      <c r="O91" s="5">
        <v>4.5</v>
      </c>
      <c r="P91" s="5">
        <v>627171.9</v>
      </c>
      <c r="Q91" s="5">
        <v>105772.75</v>
      </c>
      <c r="S91" s="5">
        <v>141540.29</v>
      </c>
      <c r="T91" s="5">
        <v>5400</v>
      </c>
      <c r="U91" s="5">
        <v>87</v>
      </c>
      <c r="V91" s="5">
        <f t="shared" si="7"/>
        <v>0</v>
      </c>
    </row>
    <row r="92" spans="1:22">
      <c r="A92" s="5" t="s">
        <v>44</v>
      </c>
      <c r="B92" s="6">
        <v>45717</v>
      </c>
      <c r="C92" s="5" t="s">
        <v>24</v>
      </c>
      <c r="D92" s="5">
        <f t="shared" si="4"/>
        <v>0</v>
      </c>
      <c r="E92" s="5">
        <f t="shared" si="5"/>
        <v>1</v>
      </c>
      <c r="F92" s="5">
        <f t="shared" si="6"/>
        <v>0</v>
      </c>
      <c r="G92" s="5" t="s">
        <v>28</v>
      </c>
      <c r="H92" s="5">
        <v>82116.19</v>
      </c>
      <c r="I92" s="5">
        <v>5988</v>
      </c>
      <c r="J92" s="5">
        <v>0.04</v>
      </c>
      <c r="K92" s="5">
        <v>17</v>
      </c>
      <c r="L92" s="5">
        <v>91.8</v>
      </c>
      <c r="M92" s="5">
        <v>5.75</v>
      </c>
      <c r="N92" s="5">
        <v>0</v>
      </c>
      <c r="O92" s="5">
        <v>4.7</v>
      </c>
      <c r="P92" s="5">
        <v>739852.58</v>
      </c>
      <c r="Q92" s="5">
        <v>129386.43</v>
      </c>
      <c r="S92" s="5">
        <v>82116.19</v>
      </c>
      <c r="T92" s="5">
        <v>5988</v>
      </c>
      <c r="U92" s="5">
        <v>91.8</v>
      </c>
      <c r="V92" s="5">
        <f t="shared" si="7"/>
        <v>0</v>
      </c>
    </row>
    <row r="93" spans="1:22">
      <c r="A93" s="5" t="s">
        <v>44</v>
      </c>
      <c r="B93" s="6">
        <v>45748</v>
      </c>
      <c r="C93" s="5" t="s">
        <v>24</v>
      </c>
      <c r="D93" s="5">
        <f t="shared" si="4"/>
        <v>0</v>
      </c>
      <c r="E93" s="5">
        <f t="shared" si="5"/>
        <v>1</v>
      </c>
      <c r="F93" s="5">
        <f t="shared" si="6"/>
        <v>0</v>
      </c>
      <c r="G93" s="5" t="s">
        <v>28</v>
      </c>
      <c r="H93" s="5">
        <v>31207.51</v>
      </c>
      <c r="I93" s="5">
        <v>3701</v>
      </c>
      <c r="J93" s="5">
        <v>4.2999999999999997E-2</v>
      </c>
      <c r="K93" s="5">
        <v>11</v>
      </c>
      <c r="L93" s="5">
        <v>84.7</v>
      </c>
      <c r="M93" s="5">
        <v>0.33</v>
      </c>
      <c r="N93" s="5">
        <v>0</v>
      </c>
      <c r="O93" s="5">
        <v>4.3</v>
      </c>
      <c r="P93" s="5">
        <v>586307.22</v>
      </c>
      <c r="Q93" s="5">
        <v>73927.850000000006</v>
      </c>
      <c r="S93" s="5">
        <v>31207.51</v>
      </c>
      <c r="T93" s="5">
        <v>3701</v>
      </c>
      <c r="U93" s="5">
        <v>84.7</v>
      </c>
      <c r="V93" s="5">
        <f t="shared" si="7"/>
        <v>0</v>
      </c>
    </row>
    <row r="94" spans="1:22">
      <c r="A94" s="5" t="s">
        <v>45</v>
      </c>
      <c r="B94" s="6">
        <v>45658</v>
      </c>
      <c r="C94" s="5" t="s">
        <v>27</v>
      </c>
      <c r="D94" s="5">
        <f t="shared" si="4"/>
        <v>0</v>
      </c>
      <c r="E94" s="5">
        <f t="shared" si="5"/>
        <v>0</v>
      </c>
      <c r="F94" s="5">
        <f t="shared" si="6"/>
        <v>0</v>
      </c>
      <c r="G94" s="5" t="s">
        <v>16</v>
      </c>
      <c r="H94" s="5">
        <v>38966.589999999997</v>
      </c>
      <c r="I94" s="5">
        <v>4509</v>
      </c>
      <c r="J94" s="5">
        <v>0.19400000000000001</v>
      </c>
      <c r="K94" s="5">
        <v>14</v>
      </c>
      <c r="L94" s="5">
        <v>91.1</v>
      </c>
      <c r="M94" s="5">
        <v>2.92</v>
      </c>
      <c r="N94" s="5">
        <v>0</v>
      </c>
      <c r="O94" s="5">
        <v>4.5999999999999996</v>
      </c>
      <c r="P94" s="5">
        <v>585937.48</v>
      </c>
      <c r="Q94" s="5">
        <v>82624.2</v>
      </c>
      <c r="S94" s="5">
        <v>38966.589999999997</v>
      </c>
      <c r="T94" s="5">
        <v>4509</v>
      </c>
      <c r="U94" s="5">
        <v>91.1</v>
      </c>
      <c r="V94" s="5">
        <f t="shared" si="7"/>
        <v>0</v>
      </c>
    </row>
    <row r="95" spans="1:22">
      <c r="A95" s="5" t="s">
        <v>45</v>
      </c>
      <c r="B95" s="6">
        <v>45689</v>
      </c>
      <c r="C95" s="5" t="s">
        <v>27</v>
      </c>
      <c r="D95" s="5">
        <f t="shared" si="4"/>
        <v>0</v>
      </c>
      <c r="E95" s="5">
        <f t="shared" si="5"/>
        <v>0</v>
      </c>
      <c r="F95" s="5">
        <f t="shared" si="6"/>
        <v>0</v>
      </c>
      <c r="G95" s="5" t="s">
        <v>16</v>
      </c>
      <c r="H95" s="5">
        <v>67439.3</v>
      </c>
      <c r="I95" s="5">
        <v>6477</v>
      </c>
      <c r="J95" s="5">
        <v>0</v>
      </c>
      <c r="K95" s="5">
        <v>16</v>
      </c>
      <c r="L95" s="5">
        <v>90.9</v>
      </c>
      <c r="M95" s="5">
        <v>1.64</v>
      </c>
      <c r="N95" s="5">
        <v>0</v>
      </c>
      <c r="O95" s="5">
        <v>4.5</v>
      </c>
      <c r="P95" s="5">
        <v>753473.55</v>
      </c>
      <c r="Q95" s="5">
        <v>151527.22</v>
      </c>
      <c r="S95" s="5">
        <v>67439.3</v>
      </c>
      <c r="T95" s="5">
        <v>6477</v>
      </c>
      <c r="U95" s="5">
        <v>90.9</v>
      </c>
      <c r="V95" s="5">
        <f t="shared" si="7"/>
        <v>0</v>
      </c>
    </row>
    <row r="96" spans="1:22">
      <c r="A96" s="5" t="s">
        <v>45</v>
      </c>
      <c r="B96" s="6">
        <v>45717</v>
      </c>
      <c r="C96" s="5" t="s">
        <v>27</v>
      </c>
      <c r="D96" s="5">
        <f t="shared" si="4"/>
        <v>0</v>
      </c>
      <c r="E96" s="5">
        <f t="shared" si="5"/>
        <v>0</v>
      </c>
      <c r="F96" s="5">
        <f t="shared" si="6"/>
        <v>0</v>
      </c>
      <c r="G96" s="5" t="s">
        <v>16</v>
      </c>
      <c r="H96" s="5">
        <v>86421.88</v>
      </c>
      <c r="I96" s="5">
        <v>7970</v>
      </c>
      <c r="J96" s="5">
        <v>7.2999999999999995E-2</v>
      </c>
      <c r="K96" s="5">
        <v>17</v>
      </c>
      <c r="L96" s="5">
        <v>91.3</v>
      </c>
      <c r="M96" s="5">
        <v>0.8</v>
      </c>
      <c r="N96" s="5">
        <v>0</v>
      </c>
      <c r="O96" s="5">
        <v>5</v>
      </c>
      <c r="P96" s="5">
        <v>838250.32</v>
      </c>
      <c r="Q96" s="5">
        <v>122939.34</v>
      </c>
      <c r="S96" s="5">
        <v>86421.88</v>
      </c>
      <c r="T96" s="5">
        <v>7970</v>
      </c>
      <c r="U96" s="5">
        <v>91.3</v>
      </c>
      <c r="V96" s="5">
        <f t="shared" si="7"/>
        <v>0</v>
      </c>
    </row>
    <row r="97" spans="1:22">
      <c r="A97" s="5" t="s">
        <v>45</v>
      </c>
      <c r="B97" s="6">
        <v>45748</v>
      </c>
      <c r="C97" s="5" t="s">
        <v>27</v>
      </c>
      <c r="D97" s="5">
        <f t="shared" si="4"/>
        <v>0</v>
      </c>
      <c r="E97" s="5">
        <f t="shared" si="5"/>
        <v>0</v>
      </c>
      <c r="F97" s="5">
        <f t="shared" si="6"/>
        <v>0</v>
      </c>
      <c r="G97" s="5" t="s">
        <v>16</v>
      </c>
      <c r="H97" s="5">
        <v>9534.65</v>
      </c>
      <c r="I97" s="5">
        <v>6057</v>
      </c>
      <c r="J97" s="5">
        <v>7.3999999999999996E-2</v>
      </c>
      <c r="K97" s="5">
        <v>15</v>
      </c>
      <c r="L97" s="5">
        <v>94.1</v>
      </c>
      <c r="M97" s="5">
        <v>5.79</v>
      </c>
      <c r="N97" s="5">
        <v>0</v>
      </c>
      <c r="O97" s="5">
        <v>4.5</v>
      </c>
      <c r="P97" s="5">
        <v>607898.12</v>
      </c>
      <c r="Q97" s="5">
        <v>135404.85</v>
      </c>
      <c r="S97" s="5">
        <v>9534.65</v>
      </c>
      <c r="T97" s="5">
        <v>6057</v>
      </c>
      <c r="U97" s="5">
        <v>94.1</v>
      </c>
      <c r="V97" s="5">
        <f t="shared" si="7"/>
        <v>0</v>
      </c>
    </row>
    <row r="98" spans="1:22">
      <c r="A98" s="5" t="s">
        <v>46</v>
      </c>
      <c r="B98" s="6">
        <v>45658</v>
      </c>
      <c r="C98" s="5" t="s">
        <v>27</v>
      </c>
      <c r="D98" s="5">
        <f t="shared" si="4"/>
        <v>0</v>
      </c>
      <c r="E98" s="5">
        <f t="shared" si="5"/>
        <v>0</v>
      </c>
      <c r="F98" s="5">
        <f t="shared" si="6"/>
        <v>0</v>
      </c>
      <c r="G98" s="5" t="s">
        <v>28</v>
      </c>
      <c r="H98" s="5">
        <v>61132.07</v>
      </c>
      <c r="I98" s="5">
        <v>6394</v>
      </c>
      <c r="J98" s="5">
        <v>0.16300000000000001</v>
      </c>
      <c r="K98" s="5">
        <v>19</v>
      </c>
      <c r="L98" s="5">
        <v>91</v>
      </c>
      <c r="M98" s="5">
        <v>19.600000000000001</v>
      </c>
      <c r="N98" s="5">
        <v>0</v>
      </c>
      <c r="O98" s="5">
        <v>4.4000000000000004</v>
      </c>
      <c r="P98" s="5">
        <v>691113.62</v>
      </c>
      <c r="Q98" s="5">
        <v>135145.44</v>
      </c>
      <c r="S98" s="5">
        <v>61132.07</v>
      </c>
      <c r="T98" s="5">
        <v>6394</v>
      </c>
      <c r="U98" s="5">
        <v>91</v>
      </c>
      <c r="V98" s="5">
        <f t="shared" si="7"/>
        <v>0</v>
      </c>
    </row>
    <row r="99" spans="1:22">
      <c r="A99" s="5" t="s">
        <v>46</v>
      </c>
      <c r="B99" s="6">
        <v>45689</v>
      </c>
      <c r="C99" s="5" t="s">
        <v>27</v>
      </c>
      <c r="D99" s="5">
        <f t="shared" si="4"/>
        <v>0</v>
      </c>
      <c r="E99" s="5">
        <f t="shared" si="5"/>
        <v>0</v>
      </c>
      <c r="F99" s="5">
        <f t="shared" si="6"/>
        <v>0</v>
      </c>
      <c r="G99" s="5" t="s">
        <v>28</v>
      </c>
      <c r="H99" s="5">
        <v>78839.39</v>
      </c>
      <c r="I99" s="5">
        <v>5150</v>
      </c>
      <c r="J99" s="5">
        <v>0.17100000000000001</v>
      </c>
      <c r="K99" s="5">
        <v>13</v>
      </c>
      <c r="L99" s="5">
        <v>85.8</v>
      </c>
      <c r="M99" s="5">
        <v>7.57</v>
      </c>
      <c r="N99" s="5">
        <v>0</v>
      </c>
      <c r="O99" s="5">
        <v>4.3</v>
      </c>
      <c r="P99" s="5">
        <v>735509.4</v>
      </c>
      <c r="Q99" s="5">
        <v>83895.96</v>
      </c>
      <c r="S99" s="5">
        <v>78839.39</v>
      </c>
      <c r="T99" s="5">
        <v>5150</v>
      </c>
      <c r="U99" s="5">
        <v>85.8</v>
      </c>
      <c r="V99" s="5">
        <f t="shared" si="7"/>
        <v>0</v>
      </c>
    </row>
    <row r="100" spans="1:22">
      <c r="A100" s="5" t="s">
        <v>46</v>
      </c>
      <c r="B100" s="6">
        <v>45717</v>
      </c>
      <c r="C100" s="5" t="s">
        <v>27</v>
      </c>
      <c r="D100" s="5">
        <f t="shared" si="4"/>
        <v>0</v>
      </c>
      <c r="E100" s="5">
        <f t="shared" si="5"/>
        <v>0</v>
      </c>
      <c r="F100" s="5">
        <f t="shared" si="6"/>
        <v>0</v>
      </c>
      <c r="G100" s="5" t="s">
        <v>28</v>
      </c>
      <c r="H100" s="5">
        <v>38752.800000000003</v>
      </c>
      <c r="I100" s="5">
        <v>4712</v>
      </c>
      <c r="J100" s="5">
        <v>7.4999999999999997E-2</v>
      </c>
      <c r="K100" s="5">
        <v>15</v>
      </c>
      <c r="L100" s="5">
        <v>89.7</v>
      </c>
      <c r="M100" s="5"/>
      <c r="N100" s="5">
        <v>0</v>
      </c>
      <c r="O100" s="5">
        <v>4.3</v>
      </c>
      <c r="P100" s="5">
        <v>605775.32999999996</v>
      </c>
      <c r="Q100" s="5">
        <v>107194.6</v>
      </c>
      <c r="S100" s="5">
        <v>38752.800000000003</v>
      </c>
      <c r="T100" s="5">
        <v>4712</v>
      </c>
      <c r="U100" s="5">
        <v>89.7</v>
      </c>
      <c r="V100" s="5">
        <f t="shared" si="7"/>
        <v>0</v>
      </c>
    </row>
    <row r="101" spans="1:22">
      <c r="A101" s="5" t="s">
        <v>46</v>
      </c>
      <c r="B101" s="6">
        <v>45748</v>
      </c>
      <c r="C101" s="5" t="s">
        <v>27</v>
      </c>
      <c r="D101" s="5">
        <f t="shared" si="4"/>
        <v>0</v>
      </c>
      <c r="E101" s="5">
        <f t="shared" si="5"/>
        <v>0</v>
      </c>
      <c r="F101" s="5">
        <f t="shared" si="6"/>
        <v>0</v>
      </c>
      <c r="G101" s="5" t="s">
        <v>28</v>
      </c>
      <c r="H101" s="5">
        <v>55101.1</v>
      </c>
      <c r="I101" s="5">
        <v>5281</v>
      </c>
      <c r="J101" s="5">
        <v>0.189</v>
      </c>
      <c r="K101" s="5">
        <v>11</v>
      </c>
      <c r="L101" s="5">
        <v>91</v>
      </c>
      <c r="M101" s="5">
        <v>2.7</v>
      </c>
      <c r="N101" s="5">
        <v>0</v>
      </c>
      <c r="O101" s="5">
        <v>4.4000000000000004</v>
      </c>
      <c r="P101" s="5">
        <v>675177.68</v>
      </c>
      <c r="Q101" s="5">
        <v>105628.68</v>
      </c>
      <c r="S101" s="5">
        <v>55101.1</v>
      </c>
      <c r="T101" s="5">
        <v>5281</v>
      </c>
      <c r="U101" s="5">
        <v>91</v>
      </c>
      <c r="V101" s="5">
        <f t="shared" si="7"/>
        <v>0</v>
      </c>
    </row>
    <row r="102" spans="1:22">
      <c r="A102" s="5" t="s">
        <v>47</v>
      </c>
      <c r="B102" s="6">
        <v>45658</v>
      </c>
      <c r="C102" s="5" t="s">
        <v>15</v>
      </c>
      <c r="D102" s="5">
        <f t="shared" si="4"/>
        <v>0</v>
      </c>
      <c r="E102" s="5">
        <f t="shared" si="5"/>
        <v>0</v>
      </c>
      <c r="F102" s="5">
        <f t="shared" si="6"/>
        <v>1</v>
      </c>
      <c r="G102" s="5" t="s">
        <v>28</v>
      </c>
      <c r="H102" s="5">
        <v>53084.76</v>
      </c>
      <c r="I102" s="5">
        <v>3642</v>
      </c>
      <c r="J102" s="5">
        <v>0.15</v>
      </c>
      <c r="K102" s="5">
        <v>12</v>
      </c>
      <c r="L102" s="5">
        <v>91.4</v>
      </c>
      <c r="M102" s="5">
        <v>0.2</v>
      </c>
      <c r="N102" s="5">
        <v>0</v>
      </c>
      <c r="O102" s="5">
        <v>4.4000000000000004</v>
      </c>
      <c r="P102" s="5">
        <v>635181.35</v>
      </c>
      <c r="Q102" s="5">
        <v>83341.25</v>
      </c>
      <c r="S102" s="5">
        <v>53084.76</v>
      </c>
      <c r="T102" s="5">
        <v>3642</v>
      </c>
      <c r="U102" s="5">
        <v>91.4</v>
      </c>
      <c r="V102" s="5">
        <f t="shared" si="7"/>
        <v>0</v>
      </c>
    </row>
    <row r="103" spans="1:22">
      <c r="A103" s="5" t="s">
        <v>47</v>
      </c>
      <c r="B103" s="6">
        <v>45689</v>
      </c>
      <c r="C103" s="5" t="s">
        <v>15</v>
      </c>
      <c r="D103" s="5">
        <f t="shared" si="4"/>
        <v>0</v>
      </c>
      <c r="E103" s="5">
        <f t="shared" si="5"/>
        <v>0</v>
      </c>
      <c r="F103" s="5">
        <f t="shared" si="6"/>
        <v>1</v>
      </c>
      <c r="G103" s="5" t="s">
        <v>28</v>
      </c>
      <c r="H103" s="5">
        <v>63101.59</v>
      </c>
      <c r="I103" s="5">
        <v>4373</v>
      </c>
      <c r="J103" s="5">
        <v>0.17299999999999999</v>
      </c>
      <c r="K103" s="5">
        <v>14</v>
      </c>
      <c r="L103" s="5">
        <v>90.4</v>
      </c>
      <c r="M103" s="5">
        <v>7.87</v>
      </c>
      <c r="N103" s="5">
        <v>0</v>
      </c>
      <c r="O103" s="5">
        <v>4.7</v>
      </c>
      <c r="P103" s="5">
        <v>586626.93999999994</v>
      </c>
      <c r="Q103" s="5">
        <v>86498.55</v>
      </c>
      <c r="S103" s="5">
        <v>63101.59</v>
      </c>
      <c r="T103" s="5">
        <v>4373</v>
      </c>
      <c r="U103" s="5">
        <v>90.4</v>
      </c>
      <c r="V103" s="5">
        <f t="shared" si="7"/>
        <v>0</v>
      </c>
    </row>
    <row r="104" spans="1:22">
      <c r="A104" s="5" t="s">
        <v>47</v>
      </c>
      <c r="B104" s="6">
        <v>45717</v>
      </c>
      <c r="C104" s="5" t="s">
        <v>15</v>
      </c>
      <c r="D104" s="5">
        <f t="shared" si="4"/>
        <v>0</v>
      </c>
      <c r="E104" s="5">
        <f t="shared" si="5"/>
        <v>0</v>
      </c>
      <c r="F104" s="5">
        <f t="shared" si="6"/>
        <v>1</v>
      </c>
      <c r="G104" s="5" t="s">
        <v>28</v>
      </c>
      <c r="H104" s="5">
        <v>90084.4</v>
      </c>
      <c r="I104" s="5">
        <v>6832</v>
      </c>
      <c r="J104" s="5">
        <v>0.185</v>
      </c>
      <c r="K104" s="5">
        <v>14</v>
      </c>
      <c r="L104" s="5">
        <v>80.5</v>
      </c>
      <c r="M104" s="5">
        <v>0.77</v>
      </c>
      <c r="N104" s="5">
        <v>1</v>
      </c>
      <c r="O104" s="5">
        <v>4.4000000000000004</v>
      </c>
      <c r="P104" s="5">
        <v>740102.64</v>
      </c>
      <c r="Q104" s="5">
        <v>114299.07</v>
      </c>
      <c r="S104" s="5">
        <v>90084.4</v>
      </c>
      <c r="T104" s="5">
        <v>6832</v>
      </c>
      <c r="U104" s="5">
        <v>80.5</v>
      </c>
      <c r="V104" s="5">
        <f t="shared" si="7"/>
        <v>0</v>
      </c>
    </row>
    <row r="105" spans="1:22">
      <c r="A105" s="5" t="s">
        <v>47</v>
      </c>
      <c r="B105" s="6">
        <v>45748</v>
      </c>
      <c r="C105" s="5" t="s">
        <v>15</v>
      </c>
      <c r="D105" s="5">
        <f t="shared" si="4"/>
        <v>0</v>
      </c>
      <c r="E105" s="5">
        <f t="shared" si="5"/>
        <v>0</v>
      </c>
      <c r="F105" s="5">
        <f t="shared" si="6"/>
        <v>1</v>
      </c>
      <c r="G105" s="5" t="s">
        <v>28</v>
      </c>
      <c r="H105" s="5">
        <v>32266.639999999999</v>
      </c>
      <c r="I105" s="5">
        <v>2414</v>
      </c>
      <c r="J105" s="5">
        <v>0.08</v>
      </c>
      <c r="K105" s="5">
        <v>7</v>
      </c>
      <c r="L105" s="5">
        <v>92.1</v>
      </c>
      <c r="M105" s="5">
        <v>1.48</v>
      </c>
      <c r="N105" s="5">
        <v>0</v>
      </c>
      <c r="O105" s="5">
        <v>5</v>
      </c>
      <c r="P105" s="5">
        <v>625514.04</v>
      </c>
      <c r="Q105" s="5">
        <v>120685.08</v>
      </c>
      <c r="S105" s="5">
        <v>32266.639999999999</v>
      </c>
      <c r="T105" s="5">
        <v>2414</v>
      </c>
      <c r="U105" s="5">
        <v>92.1</v>
      </c>
      <c r="V105" s="5">
        <f t="shared" si="7"/>
        <v>0</v>
      </c>
    </row>
    <row r="106" spans="1:22">
      <c r="A106" s="5" t="s">
        <v>48</v>
      </c>
      <c r="B106" s="6">
        <v>45658</v>
      </c>
      <c r="C106" s="5" t="s">
        <v>27</v>
      </c>
      <c r="D106" s="5">
        <f t="shared" si="4"/>
        <v>0</v>
      </c>
      <c r="E106" s="5">
        <f t="shared" si="5"/>
        <v>0</v>
      </c>
      <c r="F106" s="5">
        <f t="shared" si="6"/>
        <v>0</v>
      </c>
      <c r="G106" s="5" t="s">
        <v>18</v>
      </c>
      <c r="H106" s="5">
        <v>57919.07</v>
      </c>
      <c r="I106" s="5">
        <v>7374</v>
      </c>
      <c r="J106" s="5">
        <v>0.10299999999999999</v>
      </c>
      <c r="K106" s="5">
        <v>21</v>
      </c>
      <c r="L106" s="5">
        <v>82.3</v>
      </c>
      <c r="M106" s="5">
        <v>2.87</v>
      </c>
      <c r="N106" s="5">
        <v>0</v>
      </c>
      <c r="O106" s="5">
        <v>2.9</v>
      </c>
      <c r="P106" s="5">
        <v>727227.2</v>
      </c>
      <c r="Q106" s="5">
        <v>121292.01</v>
      </c>
      <c r="S106" s="5">
        <v>57919.07</v>
      </c>
      <c r="T106" s="5">
        <v>7374</v>
      </c>
      <c r="U106" s="5">
        <v>82.3</v>
      </c>
      <c r="V106" s="5">
        <f t="shared" si="7"/>
        <v>0</v>
      </c>
    </row>
    <row r="107" spans="1:22">
      <c r="A107" s="5" t="s">
        <v>48</v>
      </c>
      <c r="B107" s="6">
        <v>45689</v>
      </c>
      <c r="C107" s="5" t="s">
        <v>27</v>
      </c>
      <c r="D107" s="5">
        <f t="shared" si="4"/>
        <v>0</v>
      </c>
      <c r="E107" s="5">
        <f t="shared" si="5"/>
        <v>0</v>
      </c>
      <c r="F107" s="5">
        <f t="shared" si="6"/>
        <v>0</v>
      </c>
      <c r="G107" s="5" t="s">
        <v>18</v>
      </c>
      <c r="H107" s="5">
        <v>74679.350000000006</v>
      </c>
      <c r="I107" s="5">
        <v>8739</v>
      </c>
      <c r="J107" s="5">
        <v>5.6000000000000001E-2</v>
      </c>
      <c r="K107" s="5">
        <v>21</v>
      </c>
      <c r="L107" s="5">
        <v>91.8</v>
      </c>
      <c r="M107" s="5">
        <v>2.83</v>
      </c>
      <c r="N107" s="5">
        <v>0</v>
      </c>
      <c r="O107" s="5">
        <v>3</v>
      </c>
      <c r="P107" s="5">
        <v>783797.89</v>
      </c>
      <c r="Q107" s="5">
        <v>157620.70000000001</v>
      </c>
      <c r="S107" s="5">
        <v>74679.350000000006</v>
      </c>
      <c r="T107" s="5">
        <v>8739</v>
      </c>
      <c r="U107" s="5">
        <v>91.8</v>
      </c>
      <c r="V107" s="5">
        <f t="shared" si="7"/>
        <v>0</v>
      </c>
    </row>
    <row r="108" spans="1:22">
      <c r="A108" s="5" t="s">
        <v>48</v>
      </c>
      <c r="B108" s="6">
        <v>45717</v>
      </c>
      <c r="C108" s="5" t="s">
        <v>27</v>
      </c>
      <c r="D108" s="5">
        <f t="shared" si="4"/>
        <v>0</v>
      </c>
      <c r="E108" s="5">
        <f t="shared" si="5"/>
        <v>0</v>
      </c>
      <c r="F108" s="5">
        <f t="shared" si="6"/>
        <v>0</v>
      </c>
      <c r="G108" s="5" t="s">
        <v>18</v>
      </c>
      <c r="H108" s="5">
        <v>64294.23</v>
      </c>
      <c r="I108" s="5">
        <v>6992</v>
      </c>
      <c r="J108" s="5">
        <v>0.13300000000000001</v>
      </c>
      <c r="K108" s="5">
        <v>14</v>
      </c>
      <c r="L108" s="5">
        <v>94.1</v>
      </c>
      <c r="M108" s="5">
        <v>0.25</v>
      </c>
      <c r="N108" s="5">
        <v>0</v>
      </c>
      <c r="O108" s="5">
        <v>3</v>
      </c>
      <c r="P108" s="5">
        <v>795153.84</v>
      </c>
      <c r="Q108" s="5">
        <v>143194.21</v>
      </c>
      <c r="S108" s="5">
        <v>64294.23</v>
      </c>
      <c r="T108" s="5">
        <v>6992</v>
      </c>
      <c r="U108" s="5">
        <v>94.1</v>
      </c>
      <c r="V108" s="5">
        <f t="shared" si="7"/>
        <v>0</v>
      </c>
    </row>
    <row r="109" spans="1:22">
      <c r="A109" s="5" t="s">
        <v>48</v>
      </c>
      <c r="B109" s="6">
        <v>45748</v>
      </c>
      <c r="C109" s="5" t="s">
        <v>27</v>
      </c>
      <c r="D109" s="5">
        <f t="shared" si="4"/>
        <v>0</v>
      </c>
      <c r="E109" s="5">
        <f t="shared" si="5"/>
        <v>0</v>
      </c>
      <c r="F109" s="5">
        <f t="shared" si="6"/>
        <v>0</v>
      </c>
      <c r="G109" s="5" t="s">
        <v>18</v>
      </c>
      <c r="H109" s="5">
        <v>31042.03</v>
      </c>
      <c r="I109" s="5">
        <v>7107</v>
      </c>
      <c r="J109" s="5">
        <v>5.0999999999999997E-2</v>
      </c>
      <c r="K109" s="5">
        <v>15</v>
      </c>
      <c r="L109" s="5">
        <v>87</v>
      </c>
      <c r="M109" s="5">
        <v>13.33</v>
      </c>
      <c r="N109" s="5">
        <v>0</v>
      </c>
      <c r="O109" s="5">
        <v>3.2</v>
      </c>
      <c r="P109" s="5">
        <v>665594.93999999994</v>
      </c>
      <c r="Q109" s="5">
        <v>127597.34</v>
      </c>
      <c r="S109" s="5">
        <v>31042.03</v>
      </c>
      <c r="T109" s="5">
        <v>7107</v>
      </c>
      <c r="U109" s="5">
        <v>87</v>
      </c>
      <c r="V109" s="5">
        <f t="shared" si="7"/>
        <v>0</v>
      </c>
    </row>
    <row r="110" spans="1:22">
      <c r="A110" s="5" t="s">
        <v>49</v>
      </c>
      <c r="B110" s="6">
        <v>45658</v>
      </c>
      <c r="C110" s="5" t="s">
        <v>15</v>
      </c>
      <c r="D110" s="5">
        <f t="shared" si="4"/>
        <v>0</v>
      </c>
      <c r="E110" s="5">
        <f t="shared" si="5"/>
        <v>0</v>
      </c>
      <c r="F110" s="5">
        <f t="shared" si="6"/>
        <v>1</v>
      </c>
      <c r="G110" s="5" t="s">
        <v>28</v>
      </c>
      <c r="H110" s="5">
        <v>75265.02</v>
      </c>
      <c r="I110" s="5">
        <v>6975</v>
      </c>
      <c r="J110" s="5">
        <v>0.157</v>
      </c>
      <c r="K110" s="5">
        <v>20</v>
      </c>
      <c r="L110" s="5">
        <v>73.8</v>
      </c>
      <c r="M110" s="5">
        <v>6.35</v>
      </c>
      <c r="N110" s="5">
        <v>1</v>
      </c>
      <c r="O110" s="5">
        <v>3.8</v>
      </c>
      <c r="P110" s="5">
        <v>709478.39</v>
      </c>
      <c r="Q110" s="5">
        <v>71294.27</v>
      </c>
      <c r="S110" s="5">
        <v>75265.02</v>
      </c>
      <c r="T110" s="5">
        <v>6975</v>
      </c>
      <c r="U110" s="5">
        <v>73.8</v>
      </c>
      <c r="V110" s="5">
        <f t="shared" si="7"/>
        <v>0</v>
      </c>
    </row>
    <row r="111" spans="1:22">
      <c r="A111" s="5" t="s">
        <v>49</v>
      </c>
      <c r="B111" s="6">
        <v>45689</v>
      </c>
      <c r="C111" s="5" t="s">
        <v>15</v>
      </c>
      <c r="D111" s="5">
        <f t="shared" si="4"/>
        <v>0</v>
      </c>
      <c r="E111" s="5">
        <f t="shared" si="5"/>
        <v>0</v>
      </c>
      <c r="F111" s="5">
        <f t="shared" si="6"/>
        <v>1</v>
      </c>
      <c r="G111" s="5" t="s">
        <v>28</v>
      </c>
      <c r="H111" s="5">
        <v>69411.7</v>
      </c>
      <c r="I111" s="5">
        <v>5493</v>
      </c>
      <c r="J111" s="5">
        <v>0.29199999999999998</v>
      </c>
      <c r="K111" s="5">
        <v>13</v>
      </c>
      <c r="L111" s="5">
        <v>86.5</v>
      </c>
      <c r="M111" s="5">
        <v>6.69</v>
      </c>
      <c r="N111" s="5">
        <v>0</v>
      </c>
      <c r="O111" s="5">
        <v>3.8</v>
      </c>
      <c r="P111" s="5">
        <v>664162.49</v>
      </c>
      <c r="Q111" s="5">
        <v>98291.06</v>
      </c>
      <c r="S111" s="5">
        <v>69411.7</v>
      </c>
      <c r="T111" s="5">
        <v>5493</v>
      </c>
      <c r="U111" s="5">
        <v>86.5</v>
      </c>
      <c r="V111" s="5">
        <f t="shared" si="7"/>
        <v>0</v>
      </c>
    </row>
    <row r="112" spans="1:22">
      <c r="A112" s="5" t="s">
        <v>49</v>
      </c>
      <c r="B112" s="6">
        <v>45717</v>
      </c>
      <c r="C112" s="5" t="s">
        <v>15</v>
      </c>
      <c r="D112" s="5">
        <f t="shared" si="4"/>
        <v>0</v>
      </c>
      <c r="E112" s="5">
        <f t="shared" si="5"/>
        <v>0</v>
      </c>
      <c r="F112" s="5">
        <f t="shared" si="6"/>
        <v>1</v>
      </c>
      <c r="G112" s="5" t="s">
        <v>28</v>
      </c>
      <c r="H112" s="5">
        <v>51056.15</v>
      </c>
      <c r="I112" s="5">
        <v>5686</v>
      </c>
      <c r="J112" s="5">
        <v>8.8999999999999996E-2</v>
      </c>
      <c r="K112" s="5">
        <v>13</v>
      </c>
      <c r="L112" s="5">
        <v>89.9</v>
      </c>
      <c r="M112" s="5">
        <v>1.28</v>
      </c>
      <c r="N112" s="5">
        <v>0</v>
      </c>
      <c r="O112" s="5">
        <v>4.2</v>
      </c>
      <c r="P112" s="5">
        <v>633494.21</v>
      </c>
      <c r="Q112" s="5">
        <v>105739.47</v>
      </c>
      <c r="S112" s="5">
        <v>51056.15</v>
      </c>
      <c r="T112" s="5">
        <v>5686</v>
      </c>
      <c r="U112" s="5">
        <v>89.9</v>
      </c>
      <c r="V112" s="5">
        <f t="shared" si="7"/>
        <v>0</v>
      </c>
    </row>
    <row r="113" spans="1:22">
      <c r="A113" s="5" t="s">
        <v>49</v>
      </c>
      <c r="B113" s="6">
        <v>45748</v>
      </c>
      <c r="C113" s="5" t="s">
        <v>15</v>
      </c>
      <c r="D113" s="5">
        <f t="shared" si="4"/>
        <v>0</v>
      </c>
      <c r="E113" s="5">
        <f t="shared" si="5"/>
        <v>0</v>
      </c>
      <c r="F113" s="5">
        <f t="shared" si="6"/>
        <v>1</v>
      </c>
      <c r="G113" s="5" t="s">
        <v>28</v>
      </c>
      <c r="H113" s="5">
        <v>52758.01</v>
      </c>
      <c r="I113" s="5">
        <v>4063</v>
      </c>
      <c r="J113" s="5">
        <v>5.7000000000000002E-2</v>
      </c>
      <c r="K113" s="5">
        <v>12</v>
      </c>
      <c r="L113" s="5">
        <v>91.7</v>
      </c>
      <c r="M113" s="5">
        <v>0.92</v>
      </c>
      <c r="N113" s="5">
        <v>0</v>
      </c>
      <c r="O113" s="5">
        <v>3.5</v>
      </c>
      <c r="P113" s="5">
        <v>713611.16</v>
      </c>
      <c r="Q113" s="5">
        <v>129717.18</v>
      </c>
      <c r="S113" s="5">
        <v>52758.01</v>
      </c>
      <c r="T113" s="5">
        <v>4063</v>
      </c>
      <c r="U113" s="5">
        <v>91.7</v>
      </c>
      <c r="V113" s="5">
        <f t="shared" si="7"/>
        <v>0</v>
      </c>
    </row>
    <row r="114" spans="1:22">
      <c r="A114" s="5" t="s">
        <v>50</v>
      </c>
      <c r="B114" s="6">
        <v>45658</v>
      </c>
      <c r="C114" s="5" t="s">
        <v>27</v>
      </c>
      <c r="D114" s="5">
        <f t="shared" si="4"/>
        <v>0</v>
      </c>
      <c r="E114" s="5">
        <f t="shared" si="5"/>
        <v>0</v>
      </c>
      <c r="F114" s="5">
        <f t="shared" si="6"/>
        <v>0</v>
      </c>
      <c r="G114" s="5" t="s">
        <v>28</v>
      </c>
      <c r="H114" s="5">
        <v>61426.04</v>
      </c>
      <c r="I114" s="5">
        <v>8966</v>
      </c>
      <c r="J114" s="5">
        <v>0.17299999999999999</v>
      </c>
      <c r="K114" s="5">
        <v>22</v>
      </c>
      <c r="L114" s="5">
        <v>76.400000000000006</v>
      </c>
      <c r="M114" s="5">
        <v>1.05</v>
      </c>
      <c r="N114" s="5">
        <v>0</v>
      </c>
      <c r="O114" s="5">
        <v>3.1</v>
      </c>
      <c r="P114" s="5">
        <v>778397.97</v>
      </c>
      <c r="Q114" s="5">
        <v>120044.41</v>
      </c>
      <c r="S114" s="5">
        <v>61426.04</v>
      </c>
      <c r="T114" s="5">
        <v>8966</v>
      </c>
      <c r="U114" s="5">
        <v>76.400000000000006</v>
      </c>
      <c r="V114" s="5">
        <f t="shared" si="7"/>
        <v>0</v>
      </c>
    </row>
    <row r="115" spans="1:22">
      <c r="A115" s="5" t="s">
        <v>50</v>
      </c>
      <c r="B115" s="6">
        <v>45689</v>
      </c>
      <c r="C115" s="5" t="s">
        <v>27</v>
      </c>
      <c r="D115" s="5">
        <f t="shared" si="4"/>
        <v>0</v>
      </c>
      <c r="E115" s="5">
        <f t="shared" si="5"/>
        <v>0</v>
      </c>
      <c r="F115" s="5">
        <f t="shared" si="6"/>
        <v>0</v>
      </c>
      <c r="G115" s="5" t="s">
        <v>28</v>
      </c>
      <c r="H115" s="5">
        <v>80176.34</v>
      </c>
      <c r="I115" s="5">
        <v>9489</v>
      </c>
      <c r="J115" s="5">
        <v>0.14199999999999999</v>
      </c>
      <c r="K115" s="5">
        <v>22</v>
      </c>
      <c r="L115" s="5">
        <v>94.3</v>
      </c>
      <c r="M115" s="5">
        <v>2.67</v>
      </c>
      <c r="N115" s="5">
        <v>0</v>
      </c>
      <c r="O115" s="5">
        <v>3.5</v>
      </c>
      <c r="P115" s="5">
        <v>873380.02</v>
      </c>
      <c r="Q115" s="5">
        <v>149734.76</v>
      </c>
      <c r="S115" s="5">
        <v>80176.34</v>
      </c>
      <c r="T115" s="5">
        <v>9489</v>
      </c>
      <c r="U115" s="5">
        <v>94.3</v>
      </c>
      <c r="V115" s="5">
        <f t="shared" si="7"/>
        <v>0</v>
      </c>
    </row>
    <row r="116" spans="1:22">
      <c r="A116" s="5" t="s">
        <v>50</v>
      </c>
      <c r="B116" s="6">
        <v>45717</v>
      </c>
      <c r="C116" s="5" t="s">
        <v>27</v>
      </c>
      <c r="D116" s="5">
        <f t="shared" si="4"/>
        <v>0</v>
      </c>
      <c r="E116" s="5">
        <f t="shared" si="5"/>
        <v>0</v>
      </c>
      <c r="F116" s="5">
        <f t="shared" si="6"/>
        <v>0</v>
      </c>
      <c r="G116" s="5" t="s">
        <v>28</v>
      </c>
      <c r="H116" s="5">
        <v>33605.18</v>
      </c>
      <c r="I116" s="5">
        <v>9225</v>
      </c>
      <c r="J116" s="5">
        <v>0.159</v>
      </c>
      <c r="K116" s="5">
        <v>23</v>
      </c>
      <c r="L116" s="5">
        <v>88.4</v>
      </c>
      <c r="M116" s="5">
        <v>5.91</v>
      </c>
      <c r="N116" s="5">
        <v>0</v>
      </c>
      <c r="O116" s="5">
        <v>2.8</v>
      </c>
      <c r="P116" s="5">
        <v>697287.9</v>
      </c>
      <c r="Q116" s="5">
        <v>128208.33</v>
      </c>
      <c r="S116" s="5">
        <v>33605.18</v>
      </c>
      <c r="T116" s="5">
        <v>9225</v>
      </c>
      <c r="U116" s="5">
        <v>88.4</v>
      </c>
      <c r="V116" s="5">
        <f t="shared" si="7"/>
        <v>0</v>
      </c>
    </row>
    <row r="117" spans="1:22">
      <c r="A117" s="5" t="s">
        <v>50</v>
      </c>
      <c r="B117" s="6">
        <v>45748</v>
      </c>
      <c r="C117" s="5" t="s">
        <v>27</v>
      </c>
      <c r="D117" s="5">
        <f t="shared" si="4"/>
        <v>0</v>
      </c>
      <c r="E117" s="5">
        <f t="shared" si="5"/>
        <v>0</v>
      </c>
      <c r="F117" s="5">
        <f t="shared" si="6"/>
        <v>0</v>
      </c>
      <c r="G117" s="5" t="s">
        <v>28</v>
      </c>
      <c r="H117" s="5">
        <v>25990.54</v>
      </c>
      <c r="I117" s="5">
        <v>9249</v>
      </c>
      <c r="J117" s="5">
        <v>0.13900000000000001</v>
      </c>
      <c r="K117" s="5">
        <v>23</v>
      </c>
      <c r="L117" s="5">
        <v>92.5</v>
      </c>
      <c r="M117" s="5">
        <v>6.37</v>
      </c>
      <c r="N117" s="5">
        <v>0</v>
      </c>
      <c r="O117" s="5">
        <v>3.3</v>
      </c>
      <c r="P117" s="5">
        <v>718074.79</v>
      </c>
      <c r="Q117" s="5">
        <v>115819.87</v>
      </c>
      <c r="S117" s="5">
        <v>25990.54</v>
      </c>
      <c r="T117" s="5">
        <v>9249</v>
      </c>
      <c r="U117" s="5">
        <v>92.5</v>
      </c>
      <c r="V117" s="5">
        <f t="shared" si="7"/>
        <v>0</v>
      </c>
    </row>
    <row r="118" spans="1:22">
      <c r="A118" s="5" t="s">
        <v>51</v>
      </c>
      <c r="B118" s="6">
        <v>45658</v>
      </c>
      <c r="C118" s="5" t="s">
        <v>27</v>
      </c>
      <c r="D118" s="5">
        <f t="shared" si="4"/>
        <v>0</v>
      </c>
      <c r="E118" s="5">
        <f t="shared" si="5"/>
        <v>0</v>
      </c>
      <c r="F118" s="5">
        <f t="shared" si="6"/>
        <v>0</v>
      </c>
      <c r="G118" s="5" t="s">
        <v>16</v>
      </c>
      <c r="H118" s="5">
        <v>43685.14</v>
      </c>
      <c r="I118" s="5">
        <v>7821</v>
      </c>
      <c r="J118" s="5">
        <v>0.19</v>
      </c>
      <c r="K118" s="5">
        <v>17</v>
      </c>
      <c r="L118" s="5">
        <v>91</v>
      </c>
      <c r="M118" s="5">
        <v>2.4900000000000002</v>
      </c>
      <c r="N118" s="5">
        <v>1</v>
      </c>
      <c r="O118" s="5">
        <v>4.7</v>
      </c>
      <c r="P118" s="5">
        <v>714942.43</v>
      </c>
      <c r="Q118" s="5">
        <v>94697.71</v>
      </c>
      <c r="S118" s="5">
        <v>43685.14</v>
      </c>
      <c r="T118" s="5">
        <v>7821</v>
      </c>
      <c r="U118" s="5">
        <v>91</v>
      </c>
      <c r="V118" s="5">
        <f t="shared" si="7"/>
        <v>0</v>
      </c>
    </row>
    <row r="119" spans="1:22">
      <c r="A119" s="5" t="s">
        <v>51</v>
      </c>
      <c r="B119" s="6">
        <v>45689</v>
      </c>
      <c r="C119" s="5" t="s">
        <v>27</v>
      </c>
      <c r="D119" s="5">
        <f t="shared" si="4"/>
        <v>0</v>
      </c>
      <c r="E119" s="5">
        <f t="shared" si="5"/>
        <v>0</v>
      </c>
      <c r="F119" s="5">
        <f t="shared" si="6"/>
        <v>0</v>
      </c>
      <c r="G119" s="5" t="s">
        <v>16</v>
      </c>
      <c r="H119" s="5">
        <v>57360.01</v>
      </c>
      <c r="I119" s="5">
        <v>8434</v>
      </c>
      <c r="J119" s="5">
        <v>0.151</v>
      </c>
      <c r="K119" s="5">
        <v>19</v>
      </c>
      <c r="L119" s="5">
        <v>84.1</v>
      </c>
      <c r="M119" s="5">
        <v>1.56</v>
      </c>
      <c r="N119" s="5">
        <v>0</v>
      </c>
      <c r="O119" s="5">
        <v>4.7</v>
      </c>
      <c r="P119" s="5">
        <v>820519.04</v>
      </c>
      <c r="Q119" s="5">
        <v>99035.88</v>
      </c>
      <c r="S119" s="5">
        <v>57360.01</v>
      </c>
      <c r="T119" s="5">
        <v>8434</v>
      </c>
      <c r="U119" s="5">
        <v>84.1</v>
      </c>
      <c r="V119" s="5">
        <f t="shared" si="7"/>
        <v>0</v>
      </c>
    </row>
    <row r="120" spans="1:22">
      <c r="A120" s="5" t="s">
        <v>51</v>
      </c>
      <c r="B120" s="6">
        <v>45717</v>
      </c>
      <c r="C120" s="5" t="s">
        <v>27</v>
      </c>
      <c r="D120" s="5">
        <f t="shared" si="4"/>
        <v>0</v>
      </c>
      <c r="E120" s="5">
        <f t="shared" si="5"/>
        <v>0</v>
      </c>
      <c r="F120" s="5">
        <f t="shared" si="6"/>
        <v>0</v>
      </c>
      <c r="G120" s="5" t="s">
        <v>16</v>
      </c>
      <c r="H120" s="5">
        <v>42415.47</v>
      </c>
      <c r="I120" s="5">
        <v>8512</v>
      </c>
      <c r="J120" s="5">
        <v>0.13300000000000001</v>
      </c>
      <c r="K120" s="5">
        <v>18</v>
      </c>
      <c r="L120" s="5">
        <v>96.8</v>
      </c>
      <c r="M120" s="5">
        <v>14.95</v>
      </c>
      <c r="N120" s="5">
        <v>0</v>
      </c>
      <c r="O120" s="5">
        <v>4.5999999999999996</v>
      </c>
      <c r="P120" s="5">
        <v>684217.32</v>
      </c>
      <c r="Q120" s="5">
        <v>136217.19</v>
      </c>
      <c r="S120" s="5">
        <v>42415.47</v>
      </c>
      <c r="T120" s="5">
        <v>8512</v>
      </c>
      <c r="U120" s="5">
        <v>96.8</v>
      </c>
      <c r="V120" s="5">
        <f t="shared" si="7"/>
        <v>0</v>
      </c>
    </row>
    <row r="121" spans="1:22">
      <c r="A121" s="5" t="s">
        <v>51</v>
      </c>
      <c r="B121" s="6">
        <v>45748</v>
      </c>
      <c r="C121" s="5" t="s">
        <v>27</v>
      </c>
      <c r="D121" s="5">
        <f t="shared" si="4"/>
        <v>0</v>
      </c>
      <c r="E121" s="5">
        <f t="shared" si="5"/>
        <v>0</v>
      </c>
      <c r="F121" s="5">
        <f t="shared" si="6"/>
        <v>0</v>
      </c>
      <c r="G121" s="5" t="s">
        <v>16</v>
      </c>
      <c r="H121" s="5">
        <v>54968.98</v>
      </c>
      <c r="I121" s="5">
        <v>7816</v>
      </c>
      <c r="J121" s="5">
        <v>0.23200000000000001</v>
      </c>
      <c r="K121" s="5">
        <v>19</v>
      </c>
      <c r="L121" s="5">
        <v>95.7</v>
      </c>
      <c r="M121" s="5">
        <v>7.85</v>
      </c>
      <c r="N121" s="5">
        <v>0</v>
      </c>
      <c r="O121" s="5">
        <v>4.7</v>
      </c>
      <c r="P121" s="5">
        <v>735480.19</v>
      </c>
      <c r="Q121" s="5">
        <v>88342.11</v>
      </c>
      <c r="S121" s="5">
        <v>54968.98</v>
      </c>
      <c r="T121" s="5">
        <v>7816</v>
      </c>
      <c r="U121" s="5">
        <v>95.7</v>
      </c>
      <c r="V121" s="5">
        <f t="shared" si="7"/>
        <v>0</v>
      </c>
    </row>
    <row r="122" spans="1:22">
      <c r="A122" s="5" t="s">
        <v>52</v>
      </c>
      <c r="B122" s="6">
        <v>45658</v>
      </c>
      <c r="C122" s="5" t="s">
        <v>20</v>
      </c>
      <c r="D122" s="5">
        <f t="shared" si="4"/>
        <v>1</v>
      </c>
      <c r="E122" s="5">
        <f t="shared" si="5"/>
        <v>0</v>
      </c>
      <c r="F122" s="5">
        <f t="shared" si="6"/>
        <v>0</v>
      </c>
      <c r="G122" s="5" t="s">
        <v>18</v>
      </c>
      <c r="H122" s="5">
        <v>43896.13</v>
      </c>
      <c r="I122" s="5">
        <v>3853</v>
      </c>
      <c r="J122" s="5">
        <v>8.7999999999999995E-2</v>
      </c>
      <c r="K122" s="5">
        <v>13</v>
      </c>
      <c r="L122" s="5">
        <v>83</v>
      </c>
      <c r="M122" s="5">
        <v>6.8</v>
      </c>
      <c r="N122" s="5">
        <v>0</v>
      </c>
      <c r="O122" s="5">
        <v>4.4000000000000004</v>
      </c>
      <c r="P122" s="5">
        <v>509484.81</v>
      </c>
      <c r="Q122" s="5">
        <v>85742.36</v>
      </c>
      <c r="S122" s="5">
        <v>43896.13</v>
      </c>
      <c r="T122" s="5">
        <v>3853</v>
      </c>
      <c r="U122" s="5">
        <v>83</v>
      </c>
      <c r="V122" s="5">
        <f t="shared" si="7"/>
        <v>0</v>
      </c>
    </row>
    <row r="123" spans="1:22">
      <c r="A123" s="5" t="s">
        <v>52</v>
      </c>
      <c r="B123" s="6">
        <v>45689</v>
      </c>
      <c r="C123" s="5" t="s">
        <v>20</v>
      </c>
      <c r="D123" s="5">
        <f t="shared" si="4"/>
        <v>1</v>
      </c>
      <c r="E123" s="5">
        <f t="shared" si="5"/>
        <v>0</v>
      </c>
      <c r="F123" s="5">
        <f t="shared" si="6"/>
        <v>0</v>
      </c>
      <c r="G123" s="5" t="s">
        <v>18</v>
      </c>
      <c r="H123" s="5">
        <v>83044.17</v>
      </c>
      <c r="I123" s="5">
        <v>3694</v>
      </c>
      <c r="J123" s="5">
        <v>0</v>
      </c>
      <c r="K123" s="5">
        <v>14</v>
      </c>
      <c r="L123" s="5">
        <v>89.4</v>
      </c>
      <c r="M123" s="5">
        <v>2.2000000000000002</v>
      </c>
      <c r="N123" s="5">
        <v>0</v>
      </c>
      <c r="O123" s="5">
        <v>3.7</v>
      </c>
      <c r="P123" s="5">
        <v>654317.09</v>
      </c>
      <c r="Q123" s="5">
        <v>121446.89</v>
      </c>
      <c r="S123" s="5">
        <v>83044.17</v>
      </c>
      <c r="T123" s="5">
        <v>3694</v>
      </c>
      <c r="U123" s="5">
        <v>89.4</v>
      </c>
      <c r="V123" s="5">
        <f t="shared" si="7"/>
        <v>0</v>
      </c>
    </row>
    <row r="124" spans="1:22">
      <c r="A124" s="5" t="s">
        <v>52</v>
      </c>
      <c r="B124" s="6">
        <v>45717</v>
      </c>
      <c r="C124" s="5" t="s">
        <v>20</v>
      </c>
      <c r="D124" s="5">
        <f t="shared" si="4"/>
        <v>1</v>
      </c>
      <c r="E124" s="5">
        <f t="shared" si="5"/>
        <v>0</v>
      </c>
      <c r="F124" s="5">
        <f t="shared" si="6"/>
        <v>0</v>
      </c>
      <c r="G124" s="5" t="s">
        <v>18</v>
      </c>
      <c r="H124" s="5">
        <v>48396.13</v>
      </c>
      <c r="I124" s="5">
        <v>4423</v>
      </c>
      <c r="J124" s="5">
        <v>6.9000000000000006E-2</v>
      </c>
      <c r="K124" s="5">
        <v>15</v>
      </c>
      <c r="L124" s="5">
        <v>85.7</v>
      </c>
      <c r="M124" s="5">
        <v>1.88</v>
      </c>
      <c r="N124" s="5">
        <v>0</v>
      </c>
      <c r="O124" s="5">
        <v>3.9</v>
      </c>
      <c r="P124" s="5">
        <v>557487.26</v>
      </c>
      <c r="Q124" s="5">
        <v>76432.19</v>
      </c>
      <c r="S124" s="5">
        <v>48396.13</v>
      </c>
      <c r="T124" s="5">
        <v>4423</v>
      </c>
      <c r="U124" s="5">
        <v>85.7</v>
      </c>
      <c r="V124" s="5">
        <f t="shared" si="7"/>
        <v>0</v>
      </c>
    </row>
    <row r="125" spans="1:22">
      <c r="A125" s="5" t="s">
        <v>52</v>
      </c>
      <c r="B125" s="6">
        <v>45748</v>
      </c>
      <c r="C125" s="5" t="s">
        <v>20</v>
      </c>
      <c r="D125" s="5">
        <f t="shared" si="4"/>
        <v>1</v>
      </c>
      <c r="E125" s="5">
        <f t="shared" si="5"/>
        <v>0</v>
      </c>
      <c r="F125" s="5">
        <f t="shared" si="6"/>
        <v>0</v>
      </c>
      <c r="G125" s="5" t="s">
        <v>18</v>
      </c>
      <c r="H125" s="5">
        <v>19063.48</v>
      </c>
      <c r="I125" s="5">
        <v>1906</v>
      </c>
      <c r="J125" s="5">
        <v>0.216</v>
      </c>
      <c r="K125" s="5">
        <v>10</v>
      </c>
      <c r="L125" s="5">
        <v>97.8</v>
      </c>
      <c r="M125" s="5">
        <v>15.79</v>
      </c>
      <c r="N125" s="5">
        <v>0</v>
      </c>
      <c r="O125" s="5">
        <v>4.4000000000000004</v>
      </c>
      <c r="P125" s="5">
        <v>441275.42</v>
      </c>
      <c r="Q125" s="5">
        <v>58234.87</v>
      </c>
      <c r="S125" s="5">
        <v>19063.48</v>
      </c>
      <c r="T125" s="5">
        <v>1906</v>
      </c>
      <c r="U125" s="5">
        <v>97.8</v>
      </c>
      <c r="V125" s="5">
        <f t="shared" si="7"/>
        <v>0</v>
      </c>
    </row>
    <row r="126" spans="1:22">
      <c r="A126" s="5" t="s">
        <v>53</v>
      </c>
      <c r="B126" s="6">
        <v>45658</v>
      </c>
      <c r="C126" s="5" t="s">
        <v>24</v>
      </c>
      <c r="D126" s="5">
        <f t="shared" si="4"/>
        <v>0</v>
      </c>
      <c r="E126" s="5">
        <f t="shared" si="5"/>
        <v>1</v>
      </c>
      <c r="F126" s="5">
        <f t="shared" si="6"/>
        <v>0</v>
      </c>
      <c r="G126" s="5" t="s">
        <v>18</v>
      </c>
      <c r="H126" s="5">
        <v>61541.21</v>
      </c>
      <c r="I126" s="5">
        <v>10396</v>
      </c>
      <c r="J126" s="5">
        <v>0.123</v>
      </c>
      <c r="K126" s="5">
        <v>25</v>
      </c>
      <c r="L126" s="5">
        <v>88.1</v>
      </c>
      <c r="M126" s="5">
        <v>2.34</v>
      </c>
      <c r="N126" s="5">
        <v>1</v>
      </c>
      <c r="O126" s="5">
        <v>4.8</v>
      </c>
      <c r="P126" s="5">
        <v>914544.17</v>
      </c>
      <c r="Q126" s="5">
        <v>79831.73</v>
      </c>
      <c r="S126" s="5">
        <v>61541.21</v>
      </c>
      <c r="T126" s="5">
        <v>10396</v>
      </c>
      <c r="U126" s="5">
        <v>88.1</v>
      </c>
      <c r="V126" s="5">
        <f t="shared" si="7"/>
        <v>0</v>
      </c>
    </row>
    <row r="127" spans="1:22">
      <c r="A127" s="5" t="s">
        <v>53</v>
      </c>
      <c r="B127" s="6">
        <v>45689</v>
      </c>
      <c r="C127" s="5" t="s">
        <v>24</v>
      </c>
      <c r="D127" s="5">
        <f t="shared" si="4"/>
        <v>0</v>
      </c>
      <c r="E127" s="5">
        <f t="shared" si="5"/>
        <v>1</v>
      </c>
      <c r="F127" s="5">
        <f t="shared" si="6"/>
        <v>0</v>
      </c>
      <c r="G127" s="5" t="s">
        <v>18</v>
      </c>
      <c r="H127" s="5">
        <v>44747</v>
      </c>
      <c r="I127" s="5">
        <v>11076</v>
      </c>
      <c r="J127" s="5">
        <v>0.17599999999999999</v>
      </c>
      <c r="K127" s="5">
        <v>27</v>
      </c>
      <c r="L127" s="5">
        <v>98.3</v>
      </c>
      <c r="M127" s="5">
        <v>0.54</v>
      </c>
      <c r="N127" s="5">
        <v>0</v>
      </c>
      <c r="O127" s="5">
        <v>4.4000000000000004</v>
      </c>
      <c r="P127" s="5">
        <v>842439.67</v>
      </c>
      <c r="Q127" s="5">
        <v>169983.63</v>
      </c>
      <c r="S127" s="5">
        <v>44747</v>
      </c>
      <c r="T127" s="5">
        <v>11076</v>
      </c>
      <c r="U127" s="5">
        <v>98.3</v>
      </c>
      <c r="V127" s="5">
        <f t="shared" si="7"/>
        <v>0</v>
      </c>
    </row>
    <row r="128" spans="1:22">
      <c r="A128" s="5" t="s">
        <v>53</v>
      </c>
      <c r="B128" s="6">
        <v>45717</v>
      </c>
      <c r="C128" s="5" t="s">
        <v>24</v>
      </c>
      <c r="D128" s="5">
        <f t="shared" si="4"/>
        <v>0</v>
      </c>
      <c r="E128" s="5">
        <f t="shared" si="5"/>
        <v>1</v>
      </c>
      <c r="F128" s="5">
        <f t="shared" si="6"/>
        <v>0</v>
      </c>
      <c r="G128" s="5" t="s">
        <v>18</v>
      </c>
      <c r="H128" s="5">
        <v>56517.9</v>
      </c>
      <c r="I128" s="5">
        <v>9574</v>
      </c>
      <c r="J128" s="5">
        <v>0.20399999999999999</v>
      </c>
      <c r="K128" s="5">
        <v>20</v>
      </c>
      <c r="L128" s="5">
        <v>88.2</v>
      </c>
      <c r="M128" s="5">
        <v>5.37</v>
      </c>
      <c r="N128" s="5">
        <v>1</v>
      </c>
      <c r="O128" s="5">
        <v>4.9000000000000004</v>
      </c>
      <c r="P128" s="5">
        <v>842157.92</v>
      </c>
      <c r="Q128" s="5">
        <v>107348.22</v>
      </c>
      <c r="S128" s="5">
        <v>56517.9</v>
      </c>
      <c r="T128" s="5">
        <v>9574</v>
      </c>
      <c r="U128" s="5">
        <v>88.2</v>
      </c>
      <c r="V128" s="5">
        <f t="shared" si="7"/>
        <v>0</v>
      </c>
    </row>
    <row r="129" spans="1:22">
      <c r="A129" s="5" t="s">
        <v>53</v>
      </c>
      <c r="B129" s="6">
        <v>45748</v>
      </c>
      <c r="C129" s="5" t="s">
        <v>24</v>
      </c>
      <c r="D129" s="5">
        <f t="shared" si="4"/>
        <v>0</v>
      </c>
      <c r="E129" s="5">
        <f t="shared" si="5"/>
        <v>1</v>
      </c>
      <c r="F129" s="5">
        <f t="shared" si="6"/>
        <v>0</v>
      </c>
      <c r="G129" s="5" t="s">
        <v>18</v>
      </c>
      <c r="H129" s="5">
        <v>37828.5</v>
      </c>
      <c r="I129" s="5">
        <v>8221</v>
      </c>
      <c r="J129" s="5">
        <v>9.6000000000000002E-2</v>
      </c>
      <c r="K129" s="5">
        <v>19</v>
      </c>
      <c r="L129" s="5">
        <v>81.5</v>
      </c>
      <c r="M129" s="5">
        <v>3.19</v>
      </c>
      <c r="N129" s="5">
        <v>0</v>
      </c>
      <c r="O129" s="5">
        <v>4.8</v>
      </c>
      <c r="P129" s="5">
        <v>697155.3</v>
      </c>
      <c r="Q129" s="5">
        <v>136408.54</v>
      </c>
      <c r="S129" s="5">
        <v>37828.5</v>
      </c>
      <c r="T129" s="5">
        <v>8221</v>
      </c>
      <c r="U129" s="5">
        <v>81.5</v>
      </c>
      <c r="V129" s="5">
        <f t="shared" si="7"/>
        <v>0</v>
      </c>
    </row>
    <row r="130" spans="1:22">
      <c r="A130" s="5" t="s">
        <v>54</v>
      </c>
      <c r="B130" s="6">
        <v>45658</v>
      </c>
      <c r="C130" s="5" t="s">
        <v>15</v>
      </c>
      <c r="D130" s="5">
        <f t="shared" si="4"/>
        <v>0</v>
      </c>
      <c r="E130" s="5">
        <f t="shared" si="5"/>
        <v>0</v>
      </c>
      <c r="F130" s="5">
        <f t="shared" si="6"/>
        <v>1</v>
      </c>
      <c r="G130" s="5" t="s">
        <v>18</v>
      </c>
      <c r="H130" s="5">
        <v>66250.53</v>
      </c>
      <c r="I130" s="5">
        <v>10618</v>
      </c>
      <c r="J130" s="5">
        <v>0.14199999999999999</v>
      </c>
      <c r="K130" s="5">
        <v>27</v>
      </c>
      <c r="L130" s="5">
        <v>88.3</v>
      </c>
      <c r="M130" s="5">
        <v>1.1000000000000001</v>
      </c>
      <c r="N130" s="5">
        <v>1</v>
      </c>
      <c r="O130" s="5">
        <v>4.4000000000000004</v>
      </c>
      <c r="P130" s="5">
        <v>849018.3</v>
      </c>
      <c r="Q130" s="5">
        <v>149035.13</v>
      </c>
      <c r="S130" s="5">
        <v>66250.53</v>
      </c>
      <c r="T130" s="5">
        <v>10618</v>
      </c>
      <c r="U130" s="5">
        <v>88.3</v>
      </c>
      <c r="V130" s="5">
        <f t="shared" si="7"/>
        <v>0</v>
      </c>
    </row>
    <row r="131" spans="1:22">
      <c r="A131" s="5" t="s">
        <v>54</v>
      </c>
      <c r="B131" s="6">
        <v>45689</v>
      </c>
      <c r="C131" s="5" t="s">
        <v>15</v>
      </c>
      <c r="D131" s="5">
        <f t="shared" ref="D131:D194" si="8">IF(C131="North",1,0)</f>
        <v>0</v>
      </c>
      <c r="E131" s="5">
        <f t="shared" ref="E131:E194" si="9">IF(C131="South",1,0)</f>
        <v>0</v>
      </c>
      <c r="F131" s="5">
        <f t="shared" ref="F131:F194" si="10">IF(C131="East",1,0)</f>
        <v>1</v>
      </c>
      <c r="G131" s="5" t="s">
        <v>18</v>
      </c>
      <c r="H131" s="5">
        <v>68410.929999999993</v>
      </c>
      <c r="I131" s="5">
        <v>10596</v>
      </c>
      <c r="J131" s="5">
        <v>0.20699999999999999</v>
      </c>
      <c r="K131" s="5">
        <v>25</v>
      </c>
      <c r="L131" s="5">
        <v>81.2</v>
      </c>
      <c r="M131" s="5">
        <v>0.21</v>
      </c>
      <c r="N131" s="5">
        <v>0</v>
      </c>
      <c r="O131" s="5">
        <v>4</v>
      </c>
      <c r="P131" s="5">
        <v>801830.35</v>
      </c>
      <c r="Q131" s="5">
        <v>114875.32</v>
      </c>
      <c r="S131" s="5">
        <v>68410.929999999993</v>
      </c>
      <c r="T131" s="5">
        <v>10596</v>
      </c>
      <c r="U131" s="5">
        <v>81.2</v>
      </c>
      <c r="V131" s="5">
        <f t="shared" ref="V131:V194" si="11">IF(U131="North",1,0)</f>
        <v>0</v>
      </c>
    </row>
    <row r="132" spans="1:22">
      <c r="A132" s="5" t="s">
        <v>54</v>
      </c>
      <c r="B132" s="6">
        <v>45717</v>
      </c>
      <c r="C132" s="5" t="s">
        <v>15</v>
      </c>
      <c r="D132" s="5">
        <f t="shared" si="8"/>
        <v>0</v>
      </c>
      <c r="E132" s="5">
        <f t="shared" si="9"/>
        <v>0</v>
      </c>
      <c r="F132" s="5">
        <f t="shared" si="10"/>
        <v>1</v>
      </c>
      <c r="G132" s="5" t="s">
        <v>18</v>
      </c>
      <c r="H132" s="5">
        <v>50735.63</v>
      </c>
      <c r="I132" s="5">
        <v>9619</v>
      </c>
      <c r="J132" s="5">
        <v>0.14399999999999999</v>
      </c>
      <c r="K132" s="5">
        <v>19</v>
      </c>
      <c r="L132" s="5">
        <v>93.8</v>
      </c>
      <c r="M132" s="5">
        <v>5.12</v>
      </c>
      <c r="N132" s="5">
        <v>1</v>
      </c>
      <c r="O132" s="5">
        <v>4.5</v>
      </c>
      <c r="P132" s="5">
        <v>725235.28</v>
      </c>
      <c r="Q132" s="5">
        <v>121632.24</v>
      </c>
      <c r="S132" s="5">
        <v>50735.63</v>
      </c>
      <c r="T132" s="5">
        <v>9619</v>
      </c>
      <c r="U132" s="5">
        <v>93.8</v>
      </c>
      <c r="V132" s="5">
        <f t="shared" si="11"/>
        <v>0</v>
      </c>
    </row>
    <row r="133" spans="1:22">
      <c r="A133" s="5" t="s">
        <v>54</v>
      </c>
      <c r="B133" s="6">
        <v>45748</v>
      </c>
      <c r="C133" s="5" t="s">
        <v>15</v>
      </c>
      <c r="D133" s="5">
        <f t="shared" si="8"/>
        <v>0</v>
      </c>
      <c r="E133" s="5">
        <f t="shared" si="9"/>
        <v>0</v>
      </c>
      <c r="F133" s="5">
        <f t="shared" si="10"/>
        <v>1</v>
      </c>
      <c r="G133" s="5" t="s">
        <v>18</v>
      </c>
      <c r="H133" s="5">
        <v>66455.8</v>
      </c>
      <c r="I133" s="5">
        <v>10836</v>
      </c>
      <c r="J133" s="5">
        <v>8.8999999999999996E-2</v>
      </c>
      <c r="K133" s="5">
        <v>25</v>
      </c>
      <c r="L133" s="5">
        <v>85</v>
      </c>
      <c r="M133" s="5">
        <v>9.77</v>
      </c>
      <c r="N133" s="5">
        <v>0</v>
      </c>
      <c r="O133" s="5">
        <v>4.5</v>
      </c>
      <c r="P133" s="5">
        <v>811452.72</v>
      </c>
      <c r="Q133" s="5">
        <v>131325.67000000001</v>
      </c>
      <c r="S133" s="5">
        <v>66455.8</v>
      </c>
      <c r="T133" s="5">
        <v>10836</v>
      </c>
      <c r="U133" s="5">
        <v>85</v>
      </c>
      <c r="V133" s="5">
        <f t="shared" si="11"/>
        <v>0</v>
      </c>
    </row>
    <row r="134" spans="1:22">
      <c r="A134" s="5" t="s">
        <v>55</v>
      </c>
      <c r="B134" s="6">
        <v>45658</v>
      </c>
      <c r="C134" s="5" t="s">
        <v>20</v>
      </c>
      <c r="D134" s="5">
        <f t="shared" si="8"/>
        <v>1</v>
      </c>
      <c r="E134" s="5">
        <f t="shared" si="9"/>
        <v>0</v>
      </c>
      <c r="F134" s="5">
        <f t="shared" si="10"/>
        <v>0</v>
      </c>
      <c r="G134" s="5" t="s">
        <v>18</v>
      </c>
      <c r="H134" s="5">
        <v>70276.28</v>
      </c>
      <c r="I134" s="5">
        <v>3043</v>
      </c>
      <c r="J134" s="5">
        <v>7.9000000000000001E-2</v>
      </c>
      <c r="K134" s="5">
        <v>9</v>
      </c>
      <c r="L134" s="5">
        <v>87.9</v>
      </c>
      <c r="M134" s="5">
        <v>3.77</v>
      </c>
      <c r="N134" s="5">
        <v>0</v>
      </c>
      <c r="O134" s="5">
        <v>4.4000000000000004</v>
      </c>
      <c r="P134" s="5">
        <v>527300.13</v>
      </c>
      <c r="Q134" s="5">
        <v>84197.87</v>
      </c>
      <c r="S134" s="5">
        <v>70276.28</v>
      </c>
      <c r="T134" s="5">
        <v>3043</v>
      </c>
      <c r="U134" s="5">
        <v>87.9</v>
      </c>
      <c r="V134" s="5">
        <f t="shared" si="11"/>
        <v>0</v>
      </c>
    </row>
    <row r="135" spans="1:22">
      <c r="A135" s="5" t="s">
        <v>55</v>
      </c>
      <c r="B135" s="6">
        <v>45689</v>
      </c>
      <c r="C135" s="5" t="s">
        <v>20</v>
      </c>
      <c r="D135" s="5">
        <f t="shared" si="8"/>
        <v>1</v>
      </c>
      <c r="E135" s="5">
        <f t="shared" si="9"/>
        <v>0</v>
      </c>
      <c r="F135" s="5">
        <f t="shared" si="10"/>
        <v>0</v>
      </c>
      <c r="G135" s="5" t="s">
        <v>18</v>
      </c>
      <c r="H135" s="5">
        <v>22071.64</v>
      </c>
      <c r="I135" s="5">
        <v>1814</v>
      </c>
      <c r="J135" s="5">
        <v>0.19600000000000001</v>
      </c>
      <c r="K135" s="5">
        <v>8</v>
      </c>
      <c r="L135" s="5">
        <v>81.099999999999994</v>
      </c>
      <c r="M135" s="5">
        <v>0.78</v>
      </c>
      <c r="N135" s="5">
        <v>0</v>
      </c>
      <c r="O135" s="5"/>
      <c r="P135" s="5">
        <v>400831.65</v>
      </c>
      <c r="Q135" s="5">
        <v>70979.31</v>
      </c>
      <c r="S135" s="5">
        <v>22071.64</v>
      </c>
      <c r="T135" s="5">
        <v>1814</v>
      </c>
      <c r="U135" s="5">
        <v>81.099999999999994</v>
      </c>
      <c r="V135" s="5">
        <f t="shared" si="11"/>
        <v>0</v>
      </c>
    </row>
    <row r="136" spans="1:22">
      <c r="A136" s="5" t="s">
        <v>55</v>
      </c>
      <c r="B136" s="6">
        <v>45717</v>
      </c>
      <c r="C136" s="5" t="s">
        <v>20</v>
      </c>
      <c r="D136" s="5">
        <f t="shared" si="8"/>
        <v>1</v>
      </c>
      <c r="E136" s="5">
        <f t="shared" si="9"/>
        <v>0</v>
      </c>
      <c r="F136" s="5">
        <f t="shared" si="10"/>
        <v>0</v>
      </c>
      <c r="G136" s="5" t="s">
        <v>18</v>
      </c>
      <c r="H136" s="5">
        <v>52285.45</v>
      </c>
      <c r="I136" s="5">
        <v>3618</v>
      </c>
      <c r="J136" s="5">
        <v>8.5999999999999993E-2</v>
      </c>
      <c r="K136" s="5">
        <v>11</v>
      </c>
      <c r="L136" s="5">
        <v>95.6</v>
      </c>
      <c r="M136" s="5">
        <v>5.17</v>
      </c>
      <c r="N136" s="5">
        <v>1</v>
      </c>
      <c r="O136" s="5">
        <v>4.4000000000000004</v>
      </c>
      <c r="P136" s="5">
        <v>593247.25</v>
      </c>
      <c r="Q136" s="5">
        <v>81240.289999999994</v>
      </c>
      <c r="S136" s="5">
        <v>52285.45</v>
      </c>
      <c r="T136" s="5">
        <v>3618</v>
      </c>
      <c r="U136" s="5">
        <v>95.6</v>
      </c>
      <c r="V136" s="5">
        <f t="shared" si="11"/>
        <v>0</v>
      </c>
    </row>
    <row r="137" spans="1:22">
      <c r="A137" s="5" t="s">
        <v>55</v>
      </c>
      <c r="B137" s="6">
        <v>45748</v>
      </c>
      <c r="C137" s="5" t="s">
        <v>20</v>
      </c>
      <c r="D137" s="5">
        <f t="shared" si="8"/>
        <v>1</v>
      </c>
      <c r="E137" s="5">
        <f t="shared" si="9"/>
        <v>0</v>
      </c>
      <c r="F137" s="5">
        <f t="shared" si="10"/>
        <v>0</v>
      </c>
      <c r="G137" s="5" t="s">
        <v>18</v>
      </c>
      <c r="H137" s="5">
        <v>70366.759999999995</v>
      </c>
      <c r="I137" s="5">
        <v>1963</v>
      </c>
      <c r="J137" s="5">
        <v>0.182</v>
      </c>
      <c r="K137" s="5">
        <v>8</v>
      </c>
      <c r="L137" s="5">
        <v>89.8</v>
      </c>
      <c r="M137" s="5">
        <v>3.2</v>
      </c>
      <c r="N137" s="5">
        <v>0</v>
      </c>
      <c r="O137" s="5">
        <v>4.5999999999999996</v>
      </c>
      <c r="P137" s="5">
        <v>529075.94999999995</v>
      </c>
      <c r="Q137" s="5">
        <v>95978.83</v>
      </c>
      <c r="S137" s="5">
        <v>70366.759999999995</v>
      </c>
      <c r="T137" s="5">
        <v>1963</v>
      </c>
      <c r="U137" s="5">
        <v>89.8</v>
      </c>
      <c r="V137" s="5">
        <f t="shared" si="11"/>
        <v>0</v>
      </c>
    </row>
    <row r="138" spans="1:22">
      <c r="A138" s="5" t="s">
        <v>56</v>
      </c>
      <c r="B138" s="6">
        <v>45658</v>
      </c>
      <c r="C138" s="5" t="s">
        <v>24</v>
      </c>
      <c r="D138" s="5">
        <f t="shared" si="8"/>
        <v>0</v>
      </c>
      <c r="E138" s="5">
        <f t="shared" si="9"/>
        <v>1</v>
      </c>
      <c r="F138" s="5">
        <f t="shared" si="10"/>
        <v>0</v>
      </c>
      <c r="G138" s="5" t="s">
        <v>16</v>
      </c>
      <c r="H138" s="5">
        <v>71320.66</v>
      </c>
      <c r="I138" s="5">
        <v>7888</v>
      </c>
      <c r="J138" s="5">
        <v>4.8000000000000001E-2</v>
      </c>
      <c r="K138" s="5">
        <v>20</v>
      </c>
      <c r="L138" s="5">
        <v>78.099999999999994</v>
      </c>
      <c r="M138" s="5">
        <v>3.4</v>
      </c>
      <c r="N138" s="5">
        <v>0</v>
      </c>
      <c r="O138" s="5"/>
      <c r="P138" s="5">
        <v>633638.03</v>
      </c>
      <c r="Q138" s="5">
        <v>99402.01</v>
      </c>
      <c r="S138" s="5">
        <v>71320.66</v>
      </c>
      <c r="T138" s="5">
        <v>7888</v>
      </c>
      <c r="U138" s="5">
        <v>78.099999999999994</v>
      </c>
      <c r="V138" s="5">
        <f t="shared" si="11"/>
        <v>0</v>
      </c>
    </row>
    <row r="139" spans="1:22">
      <c r="A139" s="5" t="s">
        <v>56</v>
      </c>
      <c r="B139" s="6">
        <v>45689</v>
      </c>
      <c r="C139" s="5" t="s">
        <v>24</v>
      </c>
      <c r="D139" s="5">
        <f t="shared" si="8"/>
        <v>0</v>
      </c>
      <c r="E139" s="5">
        <f t="shared" si="9"/>
        <v>1</v>
      </c>
      <c r="F139" s="5">
        <f t="shared" si="10"/>
        <v>0</v>
      </c>
      <c r="G139" s="5" t="s">
        <v>16</v>
      </c>
      <c r="H139" s="5">
        <v>75109.67</v>
      </c>
      <c r="I139" s="5">
        <v>6244</v>
      </c>
      <c r="J139" s="5">
        <v>7.9000000000000001E-2</v>
      </c>
      <c r="K139" s="5">
        <v>15</v>
      </c>
      <c r="L139" s="5">
        <v>96.3</v>
      </c>
      <c r="M139" s="5">
        <v>7.38</v>
      </c>
      <c r="N139" s="5">
        <v>0</v>
      </c>
      <c r="O139" s="5">
        <v>3.7</v>
      </c>
      <c r="P139" s="5">
        <v>743348.84</v>
      </c>
      <c r="Q139" s="5">
        <v>104186.09</v>
      </c>
      <c r="S139" s="5">
        <v>75109.67</v>
      </c>
      <c r="T139" s="5">
        <v>6244</v>
      </c>
      <c r="U139" s="5">
        <v>96.3</v>
      </c>
      <c r="V139" s="5">
        <f t="shared" si="11"/>
        <v>0</v>
      </c>
    </row>
    <row r="140" spans="1:22">
      <c r="A140" s="5" t="s">
        <v>56</v>
      </c>
      <c r="B140" s="6">
        <v>45717</v>
      </c>
      <c r="C140" s="5" t="s">
        <v>24</v>
      </c>
      <c r="D140" s="5">
        <f t="shared" si="8"/>
        <v>0</v>
      </c>
      <c r="E140" s="5">
        <f t="shared" si="9"/>
        <v>1</v>
      </c>
      <c r="F140" s="5">
        <f t="shared" si="10"/>
        <v>0</v>
      </c>
      <c r="G140" s="5" t="s">
        <v>16</v>
      </c>
      <c r="H140" s="5">
        <v>69779</v>
      </c>
      <c r="I140" s="5">
        <v>6544</v>
      </c>
      <c r="J140" s="5">
        <v>0.152</v>
      </c>
      <c r="K140" s="5">
        <v>18</v>
      </c>
      <c r="L140" s="5">
        <v>90.2</v>
      </c>
      <c r="M140" s="5">
        <v>0.85</v>
      </c>
      <c r="N140" s="5">
        <v>1</v>
      </c>
      <c r="O140" s="5">
        <v>3.3</v>
      </c>
      <c r="P140" s="5">
        <v>758827.64</v>
      </c>
      <c r="Q140" s="5">
        <v>161439.48000000001</v>
      </c>
      <c r="S140" s="5">
        <v>69779</v>
      </c>
      <c r="T140" s="5">
        <v>6544</v>
      </c>
      <c r="U140" s="5">
        <v>90.2</v>
      </c>
      <c r="V140" s="5">
        <f t="shared" si="11"/>
        <v>0</v>
      </c>
    </row>
    <row r="141" spans="1:22">
      <c r="A141" s="5" t="s">
        <v>56</v>
      </c>
      <c r="B141" s="6">
        <v>45748</v>
      </c>
      <c r="C141" s="5" t="s">
        <v>24</v>
      </c>
      <c r="D141" s="5">
        <f t="shared" si="8"/>
        <v>0</v>
      </c>
      <c r="E141" s="5">
        <f t="shared" si="9"/>
        <v>1</v>
      </c>
      <c r="F141" s="5">
        <f t="shared" si="10"/>
        <v>0</v>
      </c>
      <c r="G141" s="5" t="s">
        <v>16</v>
      </c>
      <c r="H141" s="5">
        <v>44211.95</v>
      </c>
      <c r="I141" s="5">
        <v>5465</v>
      </c>
      <c r="J141" s="5">
        <v>0.187</v>
      </c>
      <c r="K141" s="5">
        <v>12</v>
      </c>
      <c r="L141" s="5">
        <v>90</v>
      </c>
      <c r="M141" s="5">
        <v>2.89</v>
      </c>
      <c r="N141" s="5">
        <v>0</v>
      </c>
      <c r="O141" s="5">
        <v>3.6</v>
      </c>
      <c r="P141" s="5">
        <v>646559.71</v>
      </c>
      <c r="Q141" s="5">
        <v>97981.75</v>
      </c>
      <c r="S141" s="5">
        <v>44211.95</v>
      </c>
      <c r="T141" s="5">
        <v>5465</v>
      </c>
      <c r="U141" s="5">
        <v>90</v>
      </c>
      <c r="V141" s="5">
        <f t="shared" si="11"/>
        <v>0</v>
      </c>
    </row>
    <row r="142" spans="1:22">
      <c r="A142" s="5" t="s">
        <v>57</v>
      </c>
      <c r="B142" s="6">
        <v>45658</v>
      </c>
      <c r="C142" s="5" t="s">
        <v>27</v>
      </c>
      <c r="D142" s="5">
        <f t="shared" si="8"/>
        <v>0</v>
      </c>
      <c r="E142" s="5">
        <f t="shared" si="9"/>
        <v>0</v>
      </c>
      <c r="F142" s="5">
        <f t="shared" si="10"/>
        <v>0</v>
      </c>
      <c r="G142" s="5" t="s">
        <v>18</v>
      </c>
      <c r="H142" s="5">
        <v>51430.31</v>
      </c>
      <c r="I142" s="5">
        <v>6427</v>
      </c>
      <c r="J142" s="5">
        <v>0.23400000000000001</v>
      </c>
      <c r="K142" s="5">
        <v>14</v>
      </c>
      <c r="L142" s="5">
        <v>88.8</v>
      </c>
      <c r="M142" s="5">
        <v>0.77</v>
      </c>
      <c r="N142" s="5">
        <v>0</v>
      </c>
      <c r="O142" s="5">
        <v>4.0999999999999996</v>
      </c>
      <c r="P142" s="5">
        <v>715890.53</v>
      </c>
      <c r="Q142" s="5">
        <v>109032.15</v>
      </c>
      <c r="S142" s="5">
        <v>51430.31</v>
      </c>
      <c r="T142" s="5">
        <v>6427</v>
      </c>
      <c r="U142" s="5">
        <v>88.8</v>
      </c>
      <c r="V142" s="5">
        <f t="shared" si="11"/>
        <v>0</v>
      </c>
    </row>
    <row r="143" spans="1:22">
      <c r="A143" s="5" t="s">
        <v>57</v>
      </c>
      <c r="B143" s="6">
        <v>45689</v>
      </c>
      <c r="C143" s="5" t="s">
        <v>27</v>
      </c>
      <c r="D143" s="5">
        <f t="shared" si="8"/>
        <v>0</v>
      </c>
      <c r="E143" s="5">
        <f t="shared" si="9"/>
        <v>0</v>
      </c>
      <c r="F143" s="5">
        <f t="shared" si="10"/>
        <v>0</v>
      </c>
      <c r="G143" s="5" t="s">
        <v>18</v>
      </c>
      <c r="H143" s="5">
        <v>45706.49</v>
      </c>
      <c r="I143" s="5">
        <v>6704</v>
      </c>
      <c r="J143" s="5">
        <v>3.7999999999999999E-2</v>
      </c>
      <c r="K143" s="5">
        <v>15</v>
      </c>
      <c r="L143" s="5">
        <v>94.2</v>
      </c>
      <c r="M143" s="5">
        <v>2.92</v>
      </c>
      <c r="N143" s="5">
        <v>0</v>
      </c>
      <c r="O143" s="5">
        <v>4.2</v>
      </c>
      <c r="P143" s="5">
        <v>715097.57</v>
      </c>
      <c r="Q143" s="5">
        <v>151875.85999999999</v>
      </c>
      <c r="S143" s="5">
        <v>45706.49</v>
      </c>
      <c r="T143" s="5">
        <v>6704</v>
      </c>
      <c r="U143" s="5">
        <v>94.2</v>
      </c>
      <c r="V143" s="5">
        <f t="shared" si="11"/>
        <v>0</v>
      </c>
    </row>
    <row r="144" spans="1:22">
      <c r="A144" s="5" t="s">
        <v>57</v>
      </c>
      <c r="B144" s="6">
        <v>45717</v>
      </c>
      <c r="C144" s="5" t="s">
        <v>27</v>
      </c>
      <c r="D144" s="5">
        <f t="shared" si="8"/>
        <v>0</v>
      </c>
      <c r="E144" s="5">
        <f t="shared" si="9"/>
        <v>0</v>
      </c>
      <c r="F144" s="5">
        <f t="shared" si="10"/>
        <v>0</v>
      </c>
      <c r="G144" s="5" t="s">
        <v>18</v>
      </c>
      <c r="H144" s="5">
        <v>44034.6</v>
      </c>
      <c r="I144" s="5">
        <v>5645</v>
      </c>
      <c r="J144" s="5">
        <v>6.9000000000000006E-2</v>
      </c>
      <c r="K144" s="5">
        <v>18</v>
      </c>
      <c r="L144" s="5">
        <v>88.5</v>
      </c>
      <c r="M144" s="5">
        <v>3.07</v>
      </c>
      <c r="N144" s="5">
        <v>0</v>
      </c>
      <c r="O144" s="5">
        <v>3.8</v>
      </c>
      <c r="P144" s="5">
        <v>682639.28</v>
      </c>
      <c r="Q144" s="5">
        <v>77557.53</v>
      </c>
      <c r="S144" s="5">
        <v>44034.6</v>
      </c>
      <c r="T144" s="5">
        <v>5645</v>
      </c>
      <c r="U144" s="5">
        <v>88.5</v>
      </c>
      <c r="V144" s="5">
        <f t="shared" si="11"/>
        <v>0</v>
      </c>
    </row>
    <row r="145" spans="1:22">
      <c r="A145" s="5" t="s">
        <v>57</v>
      </c>
      <c r="B145" s="6">
        <v>45748</v>
      </c>
      <c r="C145" s="5" t="s">
        <v>27</v>
      </c>
      <c r="D145" s="5">
        <f t="shared" si="8"/>
        <v>0</v>
      </c>
      <c r="E145" s="5">
        <f t="shared" si="9"/>
        <v>0</v>
      </c>
      <c r="F145" s="5">
        <f t="shared" si="10"/>
        <v>0</v>
      </c>
      <c r="G145" s="5" t="s">
        <v>18</v>
      </c>
      <c r="H145" s="5">
        <v>50198.12</v>
      </c>
      <c r="I145" s="5">
        <v>6089</v>
      </c>
      <c r="J145" s="5">
        <v>0.182</v>
      </c>
      <c r="K145" s="5">
        <v>19</v>
      </c>
      <c r="L145" s="5">
        <v>94</v>
      </c>
      <c r="M145" s="5">
        <v>9.6999999999999993</v>
      </c>
      <c r="N145" s="5">
        <v>0</v>
      </c>
      <c r="O145" s="5">
        <v>3.9</v>
      </c>
      <c r="P145" s="5">
        <v>695098.51</v>
      </c>
      <c r="Q145" s="5">
        <v>108192.75</v>
      </c>
      <c r="S145" s="5">
        <v>50198.12</v>
      </c>
      <c r="T145" s="5">
        <v>6089</v>
      </c>
      <c r="U145" s="5">
        <v>94</v>
      </c>
      <c r="V145" s="5">
        <f t="shared" si="11"/>
        <v>0</v>
      </c>
    </row>
    <row r="146" spans="1:22">
      <c r="A146" s="5" t="s">
        <v>58</v>
      </c>
      <c r="B146" s="6">
        <v>45658</v>
      </c>
      <c r="C146" s="5" t="s">
        <v>20</v>
      </c>
      <c r="D146" s="5">
        <f t="shared" si="8"/>
        <v>1</v>
      </c>
      <c r="E146" s="5">
        <f t="shared" si="9"/>
        <v>0</v>
      </c>
      <c r="F146" s="5">
        <f t="shared" si="10"/>
        <v>0</v>
      </c>
      <c r="G146" s="5" t="s">
        <v>16</v>
      </c>
      <c r="H146" s="5">
        <v>70488.2</v>
      </c>
      <c r="I146" s="5">
        <v>4312</v>
      </c>
      <c r="J146" s="5">
        <v>0.16900000000000001</v>
      </c>
      <c r="K146" s="5">
        <v>12</v>
      </c>
      <c r="L146" s="5">
        <v>90.2</v>
      </c>
      <c r="M146" s="5">
        <v>3.71</v>
      </c>
      <c r="N146" s="5">
        <v>0</v>
      </c>
      <c r="O146" s="5">
        <v>3.2</v>
      </c>
      <c r="P146" s="5">
        <v>577732.56999999995</v>
      </c>
      <c r="Q146" s="5">
        <v>93804.27</v>
      </c>
      <c r="S146" s="5">
        <v>70488.2</v>
      </c>
      <c r="T146" s="5">
        <v>4312</v>
      </c>
      <c r="U146" s="5">
        <v>90.2</v>
      </c>
      <c r="V146" s="5">
        <f t="shared" si="11"/>
        <v>0</v>
      </c>
    </row>
    <row r="147" spans="1:22">
      <c r="A147" s="5" t="s">
        <v>58</v>
      </c>
      <c r="B147" s="6">
        <v>45689</v>
      </c>
      <c r="C147" s="5" t="s">
        <v>20</v>
      </c>
      <c r="D147" s="5">
        <f t="shared" si="8"/>
        <v>1</v>
      </c>
      <c r="E147" s="5">
        <f t="shared" si="9"/>
        <v>0</v>
      </c>
      <c r="F147" s="5">
        <f t="shared" si="10"/>
        <v>0</v>
      </c>
      <c r="G147" s="5" t="s">
        <v>16</v>
      </c>
      <c r="H147" s="5">
        <v>50909.27</v>
      </c>
      <c r="I147" s="5">
        <v>3152</v>
      </c>
      <c r="J147" s="5">
        <v>0.06</v>
      </c>
      <c r="K147" s="5">
        <v>13</v>
      </c>
      <c r="L147" s="5">
        <v>93.7</v>
      </c>
      <c r="M147" s="5">
        <v>10.79</v>
      </c>
      <c r="N147" s="5">
        <v>0</v>
      </c>
      <c r="O147" s="5">
        <v>3.5</v>
      </c>
      <c r="P147" s="5">
        <v>537058.32999999996</v>
      </c>
      <c r="Q147" s="5">
        <v>93555.71</v>
      </c>
      <c r="S147" s="5">
        <v>50909.27</v>
      </c>
      <c r="T147" s="5">
        <v>3152</v>
      </c>
      <c r="U147" s="5">
        <v>93.7</v>
      </c>
      <c r="V147" s="5">
        <f t="shared" si="11"/>
        <v>0</v>
      </c>
    </row>
    <row r="148" spans="1:22">
      <c r="A148" s="5" t="s">
        <v>58</v>
      </c>
      <c r="B148" s="6">
        <v>45717</v>
      </c>
      <c r="C148" s="5" t="s">
        <v>20</v>
      </c>
      <c r="D148" s="5">
        <f t="shared" si="8"/>
        <v>1</v>
      </c>
      <c r="E148" s="5">
        <f t="shared" si="9"/>
        <v>0</v>
      </c>
      <c r="F148" s="5">
        <f t="shared" si="10"/>
        <v>0</v>
      </c>
      <c r="G148" s="5" t="s">
        <v>16</v>
      </c>
      <c r="H148" s="5">
        <v>53351.7</v>
      </c>
      <c r="I148" s="5">
        <v>4259</v>
      </c>
      <c r="J148" s="5">
        <v>0.156</v>
      </c>
      <c r="K148" s="5">
        <v>15</v>
      </c>
      <c r="L148" s="5">
        <v>93.7</v>
      </c>
      <c r="M148" s="5">
        <v>6.03</v>
      </c>
      <c r="N148" s="5">
        <v>0</v>
      </c>
      <c r="O148" s="5">
        <v>3.4</v>
      </c>
      <c r="P148" s="5">
        <v>601568.87</v>
      </c>
      <c r="Q148" s="5">
        <v>91634.82</v>
      </c>
      <c r="S148" s="5">
        <v>53351.7</v>
      </c>
      <c r="T148" s="5">
        <v>4259</v>
      </c>
      <c r="U148" s="5">
        <v>93.7</v>
      </c>
      <c r="V148" s="5">
        <f t="shared" si="11"/>
        <v>0</v>
      </c>
    </row>
    <row r="149" spans="1:22">
      <c r="A149" s="5" t="s">
        <v>58</v>
      </c>
      <c r="B149" s="6">
        <v>45748</v>
      </c>
      <c r="C149" s="5" t="s">
        <v>20</v>
      </c>
      <c r="D149" s="5">
        <f t="shared" si="8"/>
        <v>1</v>
      </c>
      <c r="E149" s="5">
        <f t="shared" si="9"/>
        <v>0</v>
      </c>
      <c r="F149" s="5">
        <f t="shared" si="10"/>
        <v>0</v>
      </c>
      <c r="G149" s="5" t="s">
        <v>16</v>
      </c>
      <c r="H149" s="5">
        <v>60322.400000000001</v>
      </c>
      <c r="I149" s="5">
        <v>3350</v>
      </c>
      <c r="J149" s="5">
        <v>0.108</v>
      </c>
      <c r="K149" s="5">
        <v>12</v>
      </c>
      <c r="L149" s="5">
        <v>89.4</v>
      </c>
      <c r="M149" s="5">
        <v>4.92</v>
      </c>
      <c r="N149" s="5">
        <v>0</v>
      </c>
      <c r="O149" s="5">
        <v>3.4</v>
      </c>
      <c r="P149" s="5">
        <v>570964.84</v>
      </c>
      <c r="Q149" s="5">
        <v>81331.070000000007</v>
      </c>
      <c r="S149" s="5">
        <v>60322.400000000001</v>
      </c>
      <c r="T149" s="5">
        <v>3350</v>
      </c>
      <c r="U149" s="5">
        <v>89.4</v>
      </c>
      <c r="V149" s="5">
        <f t="shared" si="11"/>
        <v>0</v>
      </c>
    </row>
    <row r="150" spans="1:22">
      <c r="A150" s="5" t="s">
        <v>59</v>
      </c>
      <c r="B150" s="6">
        <v>45658</v>
      </c>
      <c r="C150" s="5" t="s">
        <v>24</v>
      </c>
      <c r="D150" s="5">
        <f t="shared" si="8"/>
        <v>0</v>
      </c>
      <c r="E150" s="5">
        <f t="shared" si="9"/>
        <v>1</v>
      </c>
      <c r="F150" s="5">
        <f t="shared" si="10"/>
        <v>0</v>
      </c>
      <c r="G150" s="5" t="s">
        <v>28</v>
      </c>
      <c r="H150" s="5">
        <v>51575.68</v>
      </c>
      <c r="I150" s="5">
        <v>5329</v>
      </c>
      <c r="J150" s="5">
        <v>4.7E-2</v>
      </c>
      <c r="K150" s="5">
        <v>17</v>
      </c>
      <c r="L150" s="5">
        <v>88.1</v>
      </c>
      <c r="M150" s="5">
        <v>19.78</v>
      </c>
      <c r="N150" s="5">
        <v>0</v>
      </c>
      <c r="O150" s="5">
        <v>3.8</v>
      </c>
      <c r="P150" s="5">
        <v>614024.91</v>
      </c>
      <c r="Q150" s="5">
        <v>84828.93</v>
      </c>
      <c r="S150" s="5">
        <v>51575.68</v>
      </c>
      <c r="T150" s="5">
        <v>5329</v>
      </c>
      <c r="U150" s="5">
        <v>88.1</v>
      </c>
      <c r="V150" s="5">
        <f t="shared" si="11"/>
        <v>0</v>
      </c>
    </row>
    <row r="151" spans="1:22">
      <c r="A151" s="5" t="s">
        <v>59</v>
      </c>
      <c r="B151" s="6">
        <v>45689</v>
      </c>
      <c r="C151" s="5" t="s">
        <v>24</v>
      </c>
      <c r="D151" s="5">
        <f t="shared" si="8"/>
        <v>0</v>
      </c>
      <c r="E151" s="5">
        <f t="shared" si="9"/>
        <v>1</v>
      </c>
      <c r="F151" s="5">
        <f t="shared" si="10"/>
        <v>0</v>
      </c>
      <c r="G151" s="5" t="s">
        <v>28</v>
      </c>
      <c r="H151" s="5">
        <v>43319.94</v>
      </c>
      <c r="I151" s="5">
        <v>6551</v>
      </c>
      <c r="J151" s="5">
        <v>4.3999999999999997E-2</v>
      </c>
      <c r="K151" s="5">
        <v>13</v>
      </c>
      <c r="L151" s="5">
        <v>99</v>
      </c>
      <c r="M151" s="5">
        <v>5.45</v>
      </c>
      <c r="N151" s="5">
        <v>0</v>
      </c>
      <c r="O151" s="5">
        <v>4.0999999999999996</v>
      </c>
      <c r="P151" s="5">
        <v>712868.35</v>
      </c>
      <c r="Q151" s="5">
        <v>133650.51</v>
      </c>
      <c r="S151" s="5">
        <v>43319.94</v>
      </c>
      <c r="T151" s="5">
        <v>6551</v>
      </c>
      <c r="U151" s="5">
        <v>99</v>
      </c>
      <c r="V151" s="5">
        <f t="shared" si="11"/>
        <v>0</v>
      </c>
    </row>
    <row r="152" spans="1:22">
      <c r="A152" s="5" t="s">
        <v>59</v>
      </c>
      <c r="B152" s="6">
        <v>45717</v>
      </c>
      <c r="C152" s="5" t="s">
        <v>24</v>
      </c>
      <c r="D152" s="5">
        <f t="shared" si="8"/>
        <v>0</v>
      </c>
      <c r="E152" s="5">
        <f t="shared" si="9"/>
        <v>1</v>
      </c>
      <c r="F152" s="5">
        <f t="shared" si="10"/>
        <v>0</v>
      </c>
      <c r="G152" s="5" t="s">
        <v>28</v>
      </c>
      <c r="H152" s="5">
        <v>47093.55</v>
      </c>
      <c r="I152" s="5">
        <v>5550</v>
      </c>
      <c r="J152" s="5">
        <v>0.1</v>
      </c>
      <c r="K152" s="5">
        <v>12</v>
      </c>
      <c r="L152" s="5">
        <v>95</v>
      </c>
      <c r="M152" s="5">
        <v>2.33</v>
      </c>
      <c r="N152" s="5">
        <v>1</v>
      </c>
      <c r="O152" s="5">
        <v>3.7</v>
      </c>
      <c r="P152" s="5">
        <v>696744.15</v>
      </c>
      <c r="Q152" s="5">
        <v>152230.09</v>
      </c>
      <c r="S152" s="5">
        <v>47093.55</v>
      </c>
      <c r="T152" s="5">
        <v>5550</v>
      </c>
      <c r="U152" s="5">
        <v>95</v>
      </c>
      <c r="V152" s="5">
        <f t="shared" si="11"/>
        <v>0</v>
      </c>
    </row>
    <row r="153" spans="1:22">
      <c r="A153" s="5" t="s">
        <v>59</v>
      </c>
      <c r="B153" s="6">
        <v>45748</v>
      </c>
      <c r="C153" s="5" t="s">
        <v>24</v>
      </c>
      <c r="D153" s="5">
        <f t="shared" si="8"/>
        <v>0</v>
      </c>
      <c r="E153" s="5">
        <f t="shared" si="9"/>
        <v>1</v>
      </c>
      <c r="F153" s="5">
        <f t="shared" si="10"/>
        <v>0</v>
      </c>
      <c r="G153" s="5" t="s">
        <v>28</v>
      </c>
      <c r="H153" s="5">
        <v>71855.09</v>
      </c>
      <c r="I153" s="5">
        <v>5911</v>
      </c>
      <c r="J153" s="5">
        <v>0.19700000000000001</v>
      </c>
      <c r="K153" s="5">
        <v>15</v>
      </c>
      <c r="L153" s="5">
        <v>94.3</v>
      </c>
      <c r="M153" s="5">
        <v>3.55</v>
      </c>
      <c r="N153" s="5">
        <v>0</v>
      </c>
      <c r="O153" s="5">
        <v>4.0999999999999996</v>
      </c>
      <c r="P153" s="5">
        <v>725847.99</v>
      </c>
      <c r="Q153" s="5">
        <v>122698.73</v>
      </c>
      <c r="S153" s="5">
        <v>71855.09</v>
      </c>
      <c r="T153" s="5">
        <v>5911</v>
      </c>
      <c r="U153" s="5">
        <v>94.3</v>
      </c>
      <c r="V153" s="5">
        <f t="shared" si="11"/>
        <v>0</v>
      </c>
    </row>
    <row r="154" spans="1:22">
      <c r="A154" s="5" t="s">
        <v>60</v>
      </c>
      <c r="B154" s="6">
        <v>45658</v>
      </c>
      <c r="C154" s="5" t="s">
        <v>15</v>
      </c>
      <c r="D154" s="5">
        <f t="shared" si="8"/>
        <v>0</v>
      </c>
      <c r="E154" s="5">
        <f t="shared" si="9"/>
        <v>0</v>
      </c>
      <c r="F154" s="5">
        <f t="shared" si="10"/>
        <v>1</v>
      </c>
      <c r="G154" s="5" t="s">
        <v>18</v>
      </c>
      <c r="H154" s="5">
        <v>75645.23</v>
      </c>
      <c r="I154" s="5">
        <v>9674</v>
      </c>
      <c r="J154" s="5">
        <v>0.23400000000000001</v>
      </c>
      <c r="K154" s="5">
        <v>21</v>
      </c>
      <c r="L154" s="5">
        <v>87.4</v>
      </c>
      <c r="M154" s="5">
        <v>0.2</v>
      </c>
      <c r="N154" s="5">
        <v>0</v>
      </c>
      <c r="O154" s="5">
        <v>4.5</v>
      </c>
      <c r="P154" s="5">
        <v>785028.25</v>
      </c>
      <c r="Q154" s="5">
        <v>110726.44</v>
      </c>
      <c r="S154" s="5">
        <v>75645.23</v>
      </c>
      <c r="T154" s="5">
        <v>9674</v>
      </c>
      <c r="U154" s="5">
        <v>87.4</v>
      </c>
      <c r="V154" s="5">
        <f t="shared" si="11"/>
        <v>0</v>
      </c>
    </row>
    <row r="155" spans="1:22">
      <c r="A155" s="5" t="s">
        <v>60</v>
      </c>
      <c r="B155" s="6">
        <v>45689</v>
      </c>
      <c r="C155" s="5" t="s">
        <v>15</v>
      </c>
      <c r="D155" s="5">
        <f t="shared" si="8"/>
        <v>0</v>
      </c>
      <c r="E155" s="5">
        <f t="shared" si="9"/>
        <v>0</v>
      </c>
      <c r="F155" s="5">
        <f t="shared" si="10"/>
        <v>1</v>
      </c>
      <c r="G155" s="5" t="s">
        <v>18</v>
      </c>
      <c r="H155" s="5">
        <v>64374.75</v>
      </c>
      <c r="I155" s="5">
        <v>6740</v>
      </c>
      <c r="J155" s="5">
        <v>0.16900000000000001</v>
      </c>
      <c r="K155" s="5">
        <v>18</v>
      </c>
      <c r="L155" s="5">
        <v>87</v>
      </c>
      <c r="M155" s="5">
        <v>2.09</v>
      </c>
      <c r="N155" s="5">
        <v>0</v>
      </c>
      <c r="O155" s="5">
        <v>4.2</v>
      </c>
      <c r="P155" s="5">
        <v>698492.67</v>
      </c>
      <c r="Q155" s="5">
        <v>117319.32</v>
      </c>
      <c r="S155" s="5">
        <v>64374.75</v>
      </c>
      <c r="T155" s="5">
        <v>6740</v>
      </c>
      <c r="U155" s="5">
        <v>87</v>
      </c>
      <c r="V155" s="5">
        <f t="shared" si="11"/>
        <v>0</v>
      </c>
    </row>
    <row r="156" spans="1:22">
      <c r="A156" s="5" t="s">
        <v>60</v>
      </c>
      <c r="B156" s="6">
        <v>45717</v>
      </c>
      <c r="C156" s="5" t="s">
        <v>15</v>
      </c>
      <c r="D156" s="5">
        <f t="shared" si="8"/>
        <v>0</v>
      </c>
      <c r="E156" s="5">
        <f t="shared" si="9"/>
        <v>0</v>
      </c>
      <c r="F156" s="5">
        <f t="shared" si="10"/>
        <v>1</v>
      </c>
      <c r="G156" s="5" t="s">
        <v>18</v>
      </c>
      <c r="H156" s="5">
        <v>61433.84</v>
      </c>
      <c r="I156" s="5">
        <v>7745</v>
      </c>
      <c r="J156" s="5">
        <v>0.18</v>
      </c>
      <c r="K156" s="5">
        <v>16</v>
      </c>
      <c r="L156" s="5">
        <v>90.5</v>
      </c>
      <c r="M156" s="5">
        <v>2.2599999999999998</v>
      </c>
      <c r="N156" s="5">
        <v>0</v>
      </c>
      <c r="O156" s="5">
        <v>4.2</v>
      </c>
      <c r="P156" s="5">
        <v>685830.24</v>
      </c>
      <c r="Q156" s="5">
        <v>128736.18</v>
      </c>
      <c r="S156" s="5">
        <v>61433.84</v>
      </c>
      <c r="T156" s="5">
        <v>7745</v>
      </c>
      <c r="U156" s="5">
        <v>90.5</v>
      </c>
      <c r="V156" s="5">
        <f t="shared" si="11"/>
        <v>0</v>
      </c>
    </row>
    <row r="157" spans="1:22">
      <c r="A157" s="5" t="s">
        <v>60</v>
      </c>
      <c r="B157" s="6">
        <v>45748</v>
      </c>
      <c r="C157" s="5" t="s">
        <v>15</v>
      </c>
      <c r="D157" s="5">
        <f t="shared" si="8"/>
        <v>0</v>
      </c>
      <c r="E157" s="5">
        <f t="shared" si="9"/>
        <v>0</v>
      </c>
      <c r="F157" s="5">
        <f t="shared" si="10"/>
        <v>1</v>
      </c>
      <c r="G157" s="5" t="s">
        <v>18</v>
      </c>
      <c r="H157" s="5">
        <v>42698.14</v>
      </c>
      <c r="I157" s="5">
        <v>7693</v>
      </c>
      <c r="J157" s="5">
        <v>0.187</v>
      </c>
      <c r="K157" s="5">
        <v>19</v>
      </c>
      <c r="L157" s="5">
        <v>90.1</v>
      </c>
      <c r="M157" s="5">
        <v>0.44</v>
      </c>
      <c r="N157" s="5">
        <v>0</v>
      </c>
      <c r="O157" s="5">
        <v>4.4000000000000004</v>
      </c>
      <c r="P157" s="5">
        <v>702318.94</v>
      </c>
      <c r="Q157" s="5">
        <v>112829.29</v>
      </c>
      <c r="S157" s="5">
        <v>42698.14</v>
      </c>
      <c r="T157" s="5">
        <v>7693</v>
      </c>
      <c r="U157" s="5">
        <v>90.1</v>
      </c>
      <c r="V157" s="5">
        <f t="shared" si="11"/>
        <v>0</v>
      </c>
    </row>
    <row r="158" spans="1:22">
      <c r="A158" s="5" t="s">
        <v>61</v>
      </c>
      <c r="B158" s="6">
        <v>45658</v>
      </c>
      <c r="C158" s="5" t="s">
        <v>20</v>
      </c>
      <c r="D158" s="5">
        <f t="shared" si="8"/>
        <v>1</v>
      </c>
      <c r="E158" s="5">
        <f t="shared" si="9"/>
        <v>0</v>
      </c>
      <c r="F158" s="5">
        <f t="shared" si="10"/>
        <v>0</v>
      </c>
      <c r="G158" s="5" t="s">
        <v>28</v>
      </c>
      <c r="H158" s="5">
        <v>86883.31</v>
      </c>
      <c r="I158" s="5">
        <v>6424</v>
      </c>
      <c r="J158" s="5">
        <v>5.7000000000000002E-2</v>
      </c>
      <c r="K158" s="5">
        <v>19</v>
      </c>
      <c r="L158" s="5">
        <v>85.2</v>
      </c>
      <c r="M158" s="5">
        <v>3.08</v>
      </c>
      <c r="N158" s="5">
        <v>0</v>
      </c>
      <c r="O158" s="5">
        <v>3.9</v>
      </c>
      <c r="P158" s="5">
        <v>700078.32</v>
      </c>
      <c r="Q158" s="5">
        <v>123707.58</v>
      </c>
      <c r="S158" s="5">
        <v>86883.31</v>
      </c>
      <c r="T158" s="5">
        <v>6424</v>
      </c>
      <c r="U158" s="5">
        <v>85.2</v>
      </c>
      <c r="V158" s="5">
        <f t="shared" si="11"/>
        <v>0</v>
      </c>
    </row>
    <row r="159" spans="1:22">
      <c r="A159" s="5" t="s">
        <v>61</v>
      </c>
      <c r="B159" s="6">
        <v>45689</v>
      </c>
      <c r="C159" s="5" t="s">
        <v>20</v>
      </c>
      <c r="D159" s="5">
        <f t="shared" si="8"/>
        <v>1</v>
      </c>
      <c r="E159" s="5">
        <f t="shared" si="9"/>
        <v>0</v>
      </c>
      <c r="F159" s="5">
        <f t="shared" si="10"/>
        <v>0</v>
      </c>
      <c r="G159" s="5" t="s">
        <v>28</v>
      </c>
      <c r="H159" s="5">
        <v>41863.08</v>
      </c>
      <c r="I159" s="5">
        <v>5400</v>
      </c>
      <c r="J159" s="5">
        <v>0.114</v>
      </c>
      <c r="K159" s="5">
        <v>11</v>
      </c>
      <c r="L159" s="5">
        <v>91.6</v>
      </c>
      <c r="M159" s="5">
        <v>7.99</v>
      </c>
      <c r="N159" s="5">
        <v>0</v>
      </c>
      <c r="O159" s="5">
        <v>3</v>
      </c>
      <c r="P159" s="5">
        <v>602002.31999999995</v>
      </c>
      <c r="Q159" s="5">
        <v>110453.28</v>
      </c>
      <c r="S159" s="5">
        <v>41863.08</v>
      </c>
      <c r="T159" s="5">
        <v>5400</v>
      </c>
      <c r="U159" s="5">
        <v>91.6</v>
      </c>
      <c r="V159" s="5">
        <f t="shared" si="11"/>
        <v>0</v>
      </c>
    </row>
    <row r="160" spans="1:22">
      <c r="A160" s="5" t="s">
        <v>61</v>
      </c>
      <c r="B160" s="6">
        <v>45717</v>
      </c>
      <c r="C160" s="5" t="s">
        <v>20</v>
      </c>
      <c r="D160" s="5">
        <f t="shared" si="8"/>
        <v>1</v>
      </c>
      <c r="E160" s="5">
        <f t="shared" si="9"/>
        <v>0</v>
      </c>
      <c r="F160" s="5">
        <f t="shared" si="10"/>
        <v>0</v>
      </c>
      <c r="G160" s="5" t="s">
        <v>28</v>
      </c>
      <c r="H160" s="5">
        <v>56918.16</v>
      </c>
      <c r="I160" s="5">
        <v>7015</v>
      </c>
      <c r="J160" s="5">
        <v>0.158</v>
      </c>
      <c r="K160" s="5">
        <v>18</v>
      </c>
      <c r="L160" s="5">
        <v>74.2</v>
      </c>
      <c r="M160" s="5">
        <v>0.2</v>
      </c>
      <c r="N160" s="5">
        <v>0</v>
      </c>
      <c r="O160" s="5">
        <v>3.4</v>
      </c>
      <c r="P160" s="5">
        <v>724216.07</v>
      </c>
      <c r="Q160" s="5">
        <v>100627.56</v>
      </c>
      <c r="S160" s="5">
        <v>56918.16</v>
      </c>
      <c r="T160" s="5">
        <v>7015</v>
      </c>
      <c r="U160" s="5">
        <v>74.2</v>
      </c>
      <c r="V160" s="5">
        <f t="shared" si="11"/>
        <v>0</v>
      </c>
    </row>
    <row r="161" spans="1:22">
      <c r="A161" s="5" t="s">
        <v>61</v>
      </c>
      <c r="B161" s="6">
        <v>45748</v>
      </c>
      <c r="C161" s="5" t="s">
        <v>20</v>
      </c>
      <c r="D161" s="5">
        <f t="shared" si="8"/>
        <v>1</v>
      </c>
      <c r="E161" s="5">
        <f t="shared" si="9"/>
        <v>0</v>
      </c>
      <c r="F161" s="5">
        <f t="shared" si="10"/>
        <v>0</v>
      </c>
      <c r="G161" s="5" t="s">
        <v>28</v>
      </c>
      <c r="H161" s="5">
        <v>23254.57</v>
      </c>
      <c r="I161" s="5">
        <v>3847</v>
      </c>
      <c r="J161" s="5">
        <v>0.159</v>
      </c>
      <c r="K161" s="5">
        <v>12</v>
      </c>
      <c r="L161" s="5">
        <v>93</v>
      </c>
      <c r="M161" s="5">
        <v>5.46</v>
      </c>
      <c r="N161" s="5">
        <v>0</v>
      </c>
      <c r="O161" s="5">
        <v>3.3</v>
      </c>
      <c r="P161" s="5">
        <v>620973.03</v>
      </c>
      <c r="Q161" s="5">
        <v>72303.850000000006</v>
      </c>
      <c r="S161" s="5">
        <v>23254.57</v>
      </c>
      <c r="T161" s="5">
        <v>3847</v>
      </c>
      <c r="U161" s="5">
        <v>93</v>
      </c>
      <c r="V161" s="5">
        <f t="shared" si="11"/>
        <v>0</v>
      </c>
    </row>
    <row r="162" spans="1:22">
      <c r="A162" s="5" t="s">
        <v>62</v>
      </c>
      <c r="B162" s="6">
        <v>45658</v>
      </c>
      <c r="C162" s="5" t="s">
        <v>24</v>
      </c>
      <c r="D162" s="5">
        <f t="shared" si="8"/>
        <v>0</v>
      </c>
      <c r="E162" s="5">
        <f t="shared" si="9"/>
        <v>1</v>
      </c>
      <c r="F162" s="5">
        <f t="shared" si="10"/>
        <v>0</v>
      </c>
      <c r="G162" s="5" t="s">
        <v>18</v>
      </c>
      <c r="H162" s="5">
        <v>41443.410000000003</v>
      </c>
      <c r="I162" s="5">
        <v>7455</v>
      </c>
      <c r="J162" s="5">
        <v>0.17499999999999999</v>
      </c>
      <c r="K162" s="5">
        <v>16</v>
      </c>
      <c r="L162" s="5">
        <v>90.1</v>
      </c>
      <c r="M162" s="5">
        <v>4.05</v>
      </c>
      <c r="N162" s="5">
        <v>0</v>
      </c>
      <c r="O162" s="5">
        <v>4</v>
      </c>
      <c r="P162" s="5">
        <v>650480.06000000006</v>
      </c>
      <c r="Q162" s="5">
        <v>109012.07</v>
      </c>
      <c r="S162" s="5">
        <v>41443.410000000003</v>
      </c>
      <c r="T162" s="5">
        <v>7455</v>
      </c>
      <c r="U162" s="5">
        <v>90.1</v>
      </c>
      <c r="V162" s="5">
        <f t="shared" si="11"/>
        <v>0</v>
      </c>
    </row>
    <row r="163" spans="1:22">
      <c r="A163" s="5" t="s">
        <v>62</v>
      </c>
      <c r="B163" s="6">
        <v>45689</v>
      </c>
      <c r="C163" s="5" t="s">
        <v>24</v>
      </c>
      <c r="D163" s="5">
        <f t="shared" si="8"/>
        <v>0</v>
      </c>
      <c r="E163" s="5">
        <f t="shared" si="9"/>
        <v>1</v>
      </c>
      <c r="F163" s="5">
        <f t="shared" si="10"/>
        <v>0</v>
      </c>
      <c r="G163" s="5" t="s">
        <v>18</v>
      </c>
      <c r="H163" s="5">
        <v>48438.85</v>
      </c>
      <c r="I163" s="5">
        <v>6992</v>
      </c>
      <c r="J163" s="5">
        <v>3.4000000000000002E-2</v>
      </c>
      <c r="K163" s="5">
        <v>20</v>
      </c>
      <c r="L163" s="5">
        <v>91</v>
      </c>
      <c r="M163" s="5">
        <v>4.3600000000000003</v>
      </c>
      <c r="N163" s="5">
        <v>0</v>
      </c>
      <c r="O163" s="5">
        <v>4.2</v>
      </c>
      <c r="P163" s="5">
        <v>778298.88</v>
      </c>
      <c r="Q163" s="5">
        <v>130076.72</v>
      </c>
      <c r="S163" s="5">
        <v>48438.85</v>
      </c>
      <c r="T163" s="5">
        <v>6992</v>
      </c>
      <c r="U163" s="5">
        <v>91</v>
      </c>
      <c r="V163" s="5">
        <f t="shared" si="11"/>
        <v>0</v>
      </c>
    </row>
    <row r="164" spans="1:22">
      <c r="A164" s="5" t="s">
        <v>62</v>
      </c>
      <c r="B164" s="6">
        <v>45717</v>
      </c>
      <c r="C164" s="5" t="s">
        <v>24</v>
      </c>
      <c r="D164" s="5">
        <f t="shared" si="8"/>
        <v>0</v>
      </c>
      <c r="E164" s="5">
        <f t="shared" si="9"/>
        <v>1</v>
      </c>
      <c r="F164" s="5">
        <f t="shared" si="10"/>
        <v>0</v>
      </c>
      <c r="G164" s="5" t="s">
        <v>18</v>
      </c>
      <c r="H164" s="5">
        <v>57143.3</v>
      </c>
      <c r="I164" s="5">
        <v>8038</v>
      </c>
      <c r="J164" s="5">
        <v>0.193</v>
      </c>
      <c r="K164" s="5">
        <v>17</v>
      </c>
      <c r="L164" s="5">
        <v>72.599999999999994</v>
      </c>
      <c r="M164" s="5"/>
      <c r="N164" s="5">
        <v>0</v>
      </c>
      <c r="O164" s="5">
        <v>4.2</v>
      </c>
      <c r="P164" s="5">
        <v>677096.71</v>
      </c>
      <c r="Q164" s="5">
        <v>97174.11</v>
      </c>
      <c r="S164" s="5">
        <v>57143.3</v>
      </c>
      <c r="T164" s="5">
        <v>8038</v>
      </c>
      <c r="U164" s="5">
        <v>72.599999999999994</v>
      </c>
      <c r="V164" s="5">
        <f t="shared" si="11"/>
        <v>0</v>
      </c>
    </row>
    <row r="165" spans="1:22">
      <c r="A165" s="5" t="s">
        <v>62</v>
      </c>
      <c r="B165" s="6">
        <v>45748</v>
      </c>
      <c r="C165" s="5" t="s">
        <v>24</v>
      </c>
      <c r="D165" s="5">
        <f t="shared" si="8"/>
        <v>0</v>
      </c>
      <c r="E165" s="5">
        <f t="shared" si="9"/>
        <v>1</v>
      </c>
      <c r="F165" s="5">
        <f t="shared" si="10"/>
        <v>0</v>
      </c>
      <c r="G165" s="5" t="s">
        <v>18</v>
      </c>
      <c r="H165" s="5">
        <v>66870.62</v>
      </c>
      <c r="I165" s="5">
        <v>6055</v>
      </c>
      <c r="J165" s="5">
        <v>7.4999999999999997E-2</v>
      </c>
      <c r="K165" s="5">
        <v>19</v>
      </c>
      <c r="L165" s="5">
        <v>93.8</v>
      </c>
      <c r="M165" s="5">
        <v>0.54</v>
      </c>
      <c r="N165" s="5">
        <v>0</v>
      </c>
      <c r="O165" s="5">
        <v>4.3</v>
      </c>
      <c r="P165" s="5">
        <v>692008.64</v>
      </c>
      <c r="Q165" s="5">
        <v>116337.87</v>
      </c>
      <c r="S165" s="5">
        <v>66870.62</v>
      </c>
      <c r="T165" s="5">
        <v>6055</v>
      </c>
      <c r="U165" s="5">
        <v>93.8</v>
      </c>
      <c r="V165" s="5">
        <f t="shared" si="11"/>
        <v>0</v>
      </c>
    </row>
    <row r="166" spans="1:22">
      <c r="A166" s="5" t="s">
        <v>63</v>
      </c>
      <c r="B166" s="6">
        <v>45658</v>
      </c>
      <c r="C166" s="5" t="s">
        <v>20</v>
      </c>
      <c r="D166" s="5">
        <f t="shared" si="8"/>
        <v>1</v>
      </c>
      <c r="E166" s="5">
        <f t="shared" si="9"/>
        <v>0</v>
      </c>
      <c r="F166" s="5">
        <f t="shared" si="10"/>
        <v>0</v>
      </c>
      <c r="G166" s="5" t="s">
        <v>28</v>
      </c>
      <c r="H166" s="5">
        <v>72150.53</v>
      </c>
      <c r="I166" s="5">
        <v>9323</v>
      </c>
      <c r="J166" s="5">
        <v>0.157</v>
      </c>
      <c r="K166" s="5">
        <v>22</v>
      </c>
      <c r="L166" s="5">
        <v>82.9</v>
      </c>
      <c r="M166" s="5">
        <v>11.37</v>
      </c>
      <c r="N166" s="5">
        <v>1</v>
      </c>
      <c r="O166" s="5">
        <v>4.3</v>
      </c>
      <c r="P166" s="5">
        <v>825797.91</v>
      </c>
      <c r="Q166" s="5">
        <v>130945.24</v>
      </c>
      <c r="S166" s="5">
        <v>72150.53</v>
      </c>
      <c r="T166" s="5">
        <v>9323</v>
      </c>
      <c r="U166" s="5">
        <v>82.9</v>
      </c>
      <c r="V166" s="5">
        <f t="shared" si="11"/>
        <v>0</v>
      </c>
    </row>
    <row r="167" spans="1:22">
      <c r="A167" s="5" t="s">
        <v>63</v>
      </c>
      <c r="B167" s="6">
        <v>45689</v>
      </c>
      <c r="C167" s="5" t="s">
        <v>20</v>
      </c>
      <c r="D167" s="5">
        <f t="shared" si="8"/>
        <v>1</v>
      </c>
      <c r="E167" s="5">
        <f t="shared" si="9"/>
        <v>0</v>
      </c>
      <c r="F167" s="5">
        <f t="shared" si="10"/>
        <v>0</v>
      </c>
      <c r="G167" s="5" t="s">
        <v>28</v>
      </c>
      <c r="H167" s="5">
        <v>35303.300000000003</v>
      </c>
      <c r="I167" s="5">
        <v>8789</v>
      </c>
      <c r="J167" s="5">
        <v>0.123</v>
      </c>
      <c r="K167" s="5">
        <v>22</v>
      </c>
      <c r="L167" s="5">
        <v>86.1</v>
      </c>
      <c r="M167" s="5">
        <v>9.43</v>
      </c>
      <c r="N167" s="5">
        <v>0</v>
      </c>
      <c r="O167" s="5">
        <v>4.2</v>
      </c>
      <c r="P167" s="5">
        <v>706285.52</v>
      </c>
      <c r="Q167" s="5">
        <v>138014.72</v>
      </c>
      <c r="S167" s="5">
        <v>35303.300000000003</v>
      </c>
      <c r="T167" s="5">
        <v>8789</v>
      </c>
      <c r="U167" s="5">
        <v>86.1</v>
      </c>
      <c r="V167" s="5">
        <f t="shared" si="11"/>
        <v>0</v>
      </c>
    </row>
    <row r="168" spans="1:22">
      <c r="A168" s="5" t="s">
        <v>63</v>
      </c>
      <c r="B168" s="6">
        <v>45717</v>
      </c>
      <c r="C168" s="5" t="s">
        <v>20</v>
      </c>
      <c r="D168" s="5">
        <f t="shared" si="8"/>
        <v>1</v>
      </c>
      <c r="E168" s="5">
        <f t="shared" si="9"/>
        <v>0</v>
      </c>
      <c r="F168" s="5">
        <f t="shared" si="10"/>
        <v>0</v>
      </c>
      <c r="G168" s="5" t="s">
        <v>28</v>
      </c>
      <c r="H168" s="5">
        <v>30301.86</v>
      </c>
      <c r="I168" s="5">
        <v>6939</v>
      </c>
      <c r="J168" s="5">
        <v>0.09</v>
      </c>
      <c r="K168" s="5">
        <v>16</v>
      </c>
      <c r="L168" s="5">
        <v>90.3</v>
      </c>
      <c r="M168" s="5">
        <v>3.49</v>
      </c>
      <c r="N168" s="5">
        <v>0</v>
      </c>
      <c r="O168" s="5">
        <v>4</v>
      </c>
      <c r="P168" s="5">
        <v>665534.69999999995</v>
      </c>
      <c r="Q168" s="5">
        <v>113167.73</v>
      </c>
      <c r="S168" s="5">
        <v>30301.86</v>
      </c>
      <c r="T168" s="5">
        <v>6939</v>
      </c>
      <c r="U168" s="5">
        <v>90.3</v>
      </c>
      <c r="V168" s="5">
        <f t="shared" si="11"/>
        <v>0</v>
      </c>
    </row>
    <row r="169" spans="1:22">
      <c r="A169" s="5" t="s">
        <v>63</v>
      </c>
      <c r="B169" s="6">
        <v>45748</v>
      </c>
      <c r="C169" s="5" t="s">
        <v>20</v>
      </c>
      <c r="D169" s="5">
        <f t="shared" si="8"/>
        <v>1</v>
      </c>
      <c r="E169" s="5">
        <f t="shared" si="9"/>
        <v>0</v>
      </c>
      <c r="F169" s="5">
        <f t="shared" si="10"/>
        <v>0</v>
      </c>
      <c r="G169" s="5" t="s">
        <v>28</v>
      </c>
      <c r="H169" s="5">
        <v>78432.14</v>
      </c>
      <c r="I169" s="5">
        <v>9440</v>
      </c>
      <c r="J169" s="5">
        <v>0.126</v>
      </c>
      <c r="K169" s="5">
        <v>23</v>
      </c>
      <c r="L169" s="5">
        <v>89.2</v>
      </c>
      <c r="M169" s="5">
        <v>7.86</v>
      </c>
      <c r="N169" s="5">
        <v>0</v>
      </c>
      <c r="O169" s="5">
        <v>4.0999999999999996</v>
      </c>
      <c r="P169" s="5">
        <v>820729.29</v>
      </c>
      <c r="Q169" s="5">
        <v>159325.47</v>
      </c>
      <c r="S169" s="5">
        <v>78432.14</v>
      </c>
      <c r="T169" s="5">
        <v>9440</v>
      </c>
      <c r="U169" s="5">
        <v>89.2</v>
      </c>
      <c r="V169" s="5">
        <f t="shared" si="11"/>
        <v>0</v>
      </c>
    </row>
    <row r="170" spans="1:22">
      <c r="A170" s="5" t="s">
        <v>64</v>
      </c>
      <c r="B170" s="6">
        <v>45658</v>
      </c>
      <c r="C170" s="5" t="s">
        <v>15</v>
      </c>
      <c r="D170" s="5">
        <f t="shared" si="8"/>
        <v>0</v>
      </c>
      <c r="E170" s="5">
        <f t="shared" si="9"/>
        <v>0</v>
      </c>
      <c r="F170" s="5">
        <f t="shared" si="10"/>
        <v>1</v>
      </c>
      <c r="G170" s="5" t="s">
        <v>16</v>
      </c>
      <c r="H170" s="5">
        <v>62059.18</v>
      </c>
      <c r="I170" s="5">
        <v>9374</v>
      </c>
      <c r="J170" s="5">
        <v>0.13600000000000001</v>
      </c>
      <c r="K170" s="5">
        <v>25</v>
      </c>
      <c r="L170" s="5">
        <v>87.1</v>
      </c>
      <c r="M170" s="5">
        <v>12.55</v>
      </c>
      <c r="N170" s="5">
        <v>0</v>
      </c>
      <c r="O170" s="5">
        <v>4.9000000000000004</v>
      </c>
      <c r="P170" s="5">
        <v>739831.73</v>
      </c>
      <c r="Q170" s="5">
        <v>119490.21</v>
      </c>
      <c r="S170" s="5">
        <v>62059.18</v>
      </c>
      <c r="T170" s="5">
        <v>9374</v>
      </c>
      <c r="U170" s="5">
        <v>87.1</v>
      </c>
      <c r="V170" s="5">
        <f t="shared" si="11"/>
        <v>0</v>
      </c>
    </row>
    <row r="171" spans="1:22">
      <c r="A171" s="5" t="s">
        <v>64</v>
      </c>
      <c r="B171" s="6">
        <v>45689</v>
      </c>
      <c r="C171" s="5" t="s">
        <v>15</v>
      </c>
      <c r="D171" s="5">
        <f t="shared" si="8"/>
        <v>0</v>
      </c>
      <c r="E171" s="5">
        <f t="shared" si="9"/>
        <v>0</v>
      </c>
      <c r="F171" s="5">
        <f t="shared" si="10"/>
        <v>1</v>
      </c>
      <c r="G171" s="5" t="s">
        <v>16</v>
      </c>
      <c r="H171" s="5">
        <v>32834.480000000003</v>
      </c>
      <c r="I171" s="5">
        <v>7576</v>
      </c>
      <c r="J171" s="5">
        <v>9.9000000000000005E-2</v>
      </c>
      <c r="K171" s="5">
        <v>15</v>
      </c>
      <c r="L171" s="5">
        <v>84.1</v>
      </c>
      <c r="M171" s="5">
        <v>3.48</v>
      </c>
      <c r="N171" s="5">
        <v>0</v>
      </c>
      <c r="O171" s="5">
        <v>5</v>
      </c>
      <c r="P171" s="5">
        <v>593637.14</v>
      </c>
      <c r="Q171" s="5">
        <v>106648.14</v>
      </c>
      <c r="S171" s="5">
        <v>32834.480000000003</v>
      </c>
      <c r="T171" s="5">
        <v>7576</v>
      </c>
      <c r="U171" s="5">
        <v>84.1</v>
      </c>
      <c r="V171" s="5">
        <f t="shared" si="11"/>
        <v>0</v>
      </c>
    </row>
    <row r="172" spans="1:22">
      <c r="A172" s="5" t="s">
        <v>64</v>
      </c>
      <c r="B172" s="6">
        <v>45717</v>
      </c>
      <c r="C172" s="5" t="s">
        <v>15</v>
      </c>
      <c r="D172" s="5">
        <f t="shared" si="8"/>
        <v>0</v>
      </c>
      <c r="E172" s="5">
        <f t="shared" si="9"/>
        <v>0</v>
      </c>
      <c r="F172" s="5">
        <f t="shared" si="10"/>
        <v>1</v>
      </c>
      <c r="G172" s="5" t="s">
        <v>16</v>
      </c>
      <c r="H172" s="5">
        <v>50825.08</v>
      </c>
      <c r="I172" s="5">
        <v>8949</v>
      </c>
      <c r="J172" s="5">
        <v>0.157</v>
      </c>
      <c r="K172" s="5">
        <v>21</v>
      </c>
      <c r="L172" s="5">
        <v>84.7</v>
      </c>
      <c r="M172" s="5">
        <v>7.73</v>
      </c>
      <c r="N172" s="5">
        <v>0</v>
      </c>
      <c r="O172" s="5">
        <v>4.9000000000000004</v>
      </c>
      <c r="P172" s="5">
        <v>769702.76</v>
      </c>
      <c r="Q172" s="5">
        <v>158697</v>
      </c>
      <c r="S172" s="5">
        <v>50825.08</v>
      </c>
      <c r="T172" s="5">
        <v>8949</v>
      </c>
      <c r="U172" s="5">
        <v>84.7</v>
      </c>
      <c r="V172" s="5">
        <f t="shared" si="11"/>
        <v>0</v>
      </c>
    </row>
    <row r="173" spans="1:22">
      <c r="A173" s="5" t="s">
        <v>64</v>
      </c>
      <c r="B173" s="6">
        <v>45748</v>
      </c>
      <c r="C173" s="5" t="s">
        <v>15</v>
      </c>
      <c r="D173" s="5">
        <f t="shared" si="8"/>
        <v>0</v>
      </c>
      <c r="E173" s="5">
        <f t="shared" si="9"/>
        <v>0</v>
      </c>
      <c r="F173" s="5">
        <f t="shared" si="10"/>
        <v>1</v>
      </c>
      <c r="G173" s="5" t="s">
        <v>16</v>
      </c>
      <c r="H173" s="5">
        <v>36606.51</v>
      </c>
      <c r="I173" s="5">
        <v>7671</v>
      </c>
      <c r="J173" s="5">
        <v>0.11799999999999999</v>
      </c>
      <c r="K173" s="5">
        <v>18</v>
      </c>
      <c r="L173" s="5">
        <v>89.8</v>
      </c>
      <c r="M173" s="5">
        <v>0.25</v>
      </c>
      <c r="N173" s="5">
        <v>0</v>
      </c>
      <c r="O173" s="5">
        <v>4.4000000000000004</v>
      </c>
      <c r="P173" s="5">
        <v>679731.57</v>
      </c>
      <c r="Q173" s="5">
        <v>121546.42</v>
      </c>
      <c r="S173" s="5">
        <v>36606.51</v>
      </c>
      <c r="T173" s="5">
        <v>7671</v>
      </c>
      <c r="U173" s="5">
        <v>89.8</v>
      </c>
      <c r="V173" s="5">
        <f t="shared" si="11"/>
        <v>0</v>
      </c>
    </row>
    <row r="174" spans="1:22">
      <c r="A174" s="5" t="s">
        <v>65</v>
      </c>
      <c r="B174" s="6">
        <v>45658</v>
      </c>
      <c r="C174" s="5" t="s">
        <v>15</v>
      </c>
      <c r="D174" s="5">
        <f t="shared" si="8"/>
        <v>0</v>
      </c>
      <c r="E174" s="5">
        <f t="shared" si="9"/>
        <v>0</v>
      </c>
      <c r="F174" s="5">
        <f t="shared" si="10"/>
        <v>1</v>
      </c>
      <c r="G174" s="5" t="s">
        <v>16</v>
      </c>
      <c r="H174" s="5">
        <v>65237.79</v>
      </c>
      <c r="I174" s="5">
        <v>8741</v>
      </c>
      <c r="J174" s="5">
        <v>0.157</v>
      </c>
      <c r="K174" s="5">
        <v>20</v>
      </c>
      <c r="L174" s="5">
        <v>94.4</v>
      </c>
      <c r="M174" s="5">
        <v>6.43</v>
      </c>
      <c r="N174" s="5">
        <v>0</v>
      </c>
      <c r="O174" s="5">
        <v>3.3</v>
      </c>
      <c r="P174" s="5">
        <v>780344.18</v>
      </c>
      <c r="Q174" s="5">
        <v>118239.09</v>
      </c>
      <c r="S174" s="5">
        <v>65237.79</v>
      </c>
      <c r="T174" s="5">
        <v>8741</v>
      </c>
      <c r="U174" s="5">
        <v>94.4</v>
      </c>
      <c r="V174" s="5">
        <f t="shared" si="11"/>
        <v>0</v>
      </c>
    </row>
    <row r="175" spans="1:22">
      <c r="A175" s="5" t="s">
        <v>65</v>
      </c>
      <c r="B175" s="6">
        <v>45689</v>
      </c>
      <c r="C175" s="5" t="s">
        <v>15</v>
      </c>
      <c r="D175" s="5">
        <f t="shared" si="8"/>
        <v>0</v>
      </c>
      <c r="E175" s="5">
        <f t="shared" si="9"/>
        <v>0</v>
      </c>
      <c r="F175" s="5">
        <f t="shared" si="10"/>
        <v>1</v>
      </c>
      <c r="G175" s="5" t="s">
        <v>16</v>
      </c>
      <c r="H175" s="5">
        <v>43645.98</v>
      </c>
      <c r="I175" s="5">
        <v>9480</v>
      </c>
      <c r="J175" s="5">
        <v>0.109</v>
      </c>
      <c r="K175" s="5">
        <v>22</v>
      </c>
      <c r="L175" s="5">
        <v>89</v>
      </c>
      <c r="M175" s="5">
        <v>2.11</v>
      </c>
      <c r="N175" s="5">
        <v>0</v>
      </c>
      <c r="O175" s="5">
        <v>3.1</v>
      </c>
      <c r="P175" s="5">
        <v>721364.11</v>
      </c>
      <c r="Q175" s="5">
        <v>147272.81</v>
      </c>
      <c r="S175" s="5">
        <v>43645.98</v>
      </c>
      <c r="T175" s="5">
        <v>9480</v>
      </c>
      <c r="U175" s="5">
        <v>89</v>
      </c>
      <c r="V175" s="5">
        <f t="shared" si="11"/>
        <v>0</v>
      </c>
    </row>
    <row r="176" spans="1:22">
      <c r="A176" s="5" t="s">
        <v>65</v>
      </c>
      <c r="B176" s="6">
        <v>45717</v>
      </c>
      <c r="C176" s="5" t="s">
        <v>15</v>
      </c>
      <c r="D176" s="5">
        <f t="shared" si="8"/>
        <v>0</v>
      </c>
      <c r="E176" s="5">
        <f t="shared" si="9"/>
        <v>0</v>
      </c>
      <c r="F176" s="5">
        <f t="shared" si="10"/>
        <v>1</v>
      </c>
      <c r="G176" s="5" t="s">
        <v>16</v>
      </c>
      <c r="H176" s="5">
        <v>68040.149999999994</v>
      </c>
      <c r="I176" s="5">
        <v>9826</v>
      </c>
      <c r="J176" s="5">
        <v>0.125</v>
      </c>
      <c r="K176" s="5">
        <v>20</v>
      </c>
      <c r="L176" s="5">
        <v>83.9</v>
      </c>
      <c r="M176" s="5">
        <v>9.1199999999999992</v>
      </c>
      <c r="N176" s="5">
        <v>0</v>
      </c>
      <c r="O176" s="5">
        <v>3.6</v>
      </c>
      <c r="P176" s="5">
        <v>758138.29</v>
      </c>
      <c r="Q176" s="5">
        <v>132975.26</v>
      </c>
      <c r="S176" s="5">
        <v>68040.149999999994</v>
      </c>
      <c r="T176" s="5">
        <v>9826</v>
      </c>
      <c r="U176" s="5">
        <v>83.9</v>
      </c>
      <c r="V176" s="5">
        <f t="shared" si="11"/>
        <v>0</v>
      </c>
    </row>
    <row r="177" spans="1:22">
      <c r="A177" s="5" t="s">
        <v>65</v>
      </c>
      <c r="B177" s="6">
        <v>45748</v>
      </c>
      <c r="C177" s="5" t="s">
        <v>15</v>
      </c>
      <c r="D177" s="5">
        <f t="shared" si="8"/>
        <v>0</v>
      </c>
      <c r="E177" s="5">
        <f t="shared" si="9"/>
        <v>0</v>
      </c>
      <c r="F177" s="5">
        <f t="shared" si="10"/>
        <v>1</v>
      </c>
      <c r="G177" s="5" t="s">
        <v>16</v>
      </c>
      <c r="H177" s="5">
        <v>63043.94</v>
      </c>
      <c r="I177" s="5">
        <v>10402</v>
      </c>
      <c r="J177" s="5">
        <v>0.159</v>
      </c>
      <c r="K177" s="5">
        <v>23</v>
      </c>
      <c r="L177" s="5">
        <v>93.9</v>
      </c>
      <c r="M177" s="5">
        <v>2.71</v>
      </c>
      <c r="N177" s="5">
        <v>0</v>
      </c>
      <c r="O177" s="5">
        <v>3.1</v>
      </c>
      <c r="P177" s="5">
        <v>804264</v>
      </c>
      <c r="Q177" s="5">
        <v>167117.91</v>
      </c>
      <c r="S177" s="5">
        <v>63043.94</v>
      </c>
      <c r="T177" s="5">
        <v>10402</v>
      </c>
      <c r="U177" s="5">
        <v>93.9</v>
      </c>
      <c r="V177" s="5">
        <f t="shared" si="11"/>
        <v>0</v>
      </c>
    </row>
    <row r="178" spans="1:22">
      <c r="A178" s="5" t="s">
        <v>66</v>
      </c>
      <c r="B178" s="6">
        <v>45658</v>
      </c>
      <c r="C178" s="5" t="s">
        <v>27</v>
      </c>
      <c r="D178" s="5">
        <f t="shared" si="8"/>
        <v>0</v>
      </c>
      <c r="E178" s="5">
        <f t="shared" si="9"/>
        <v>0</v>
      </c>
      <c r="F178" s="5">
        <f t="shared" si="10"/>
        <v>0</v>
      </c>
      <c r="G178" s="5" t="s">
        <v>21</v>
      </c>
      <c r="H178" s="5">
        <v>67494.09</v>
      </c>
      <c r="I178" s="5">
        <v>12361</v>
      </c>
      <c r="J178" s="5">
        <v>4.5999999999999999E-2</v>
      </c>
      <c r="K178" s="5">
        <v>24</v>
      </c>
      <c r="L178" s="5">
        <v>76.599999999999994</v>
      </c>
      <c r="M178" s="5">
        <v>3.65</v>
      </c>
      <c r="N178" s="5">
        <v>1</v>
      </c>
      <c r="O178" s="5">
        <v>3.7</v>
      </c>
      <c r="P178" s="5">
        <v>887537.75</v>
      </c>
      <c r="Q178" s="5">
        <v>160362.92000000001</v>
      </c>
      <c r="S178" s="5">
        <v>67494.09</v>
      </c>
      <c r="T178" s="5">
        <v>12361</v>
      </c>
      <c r="U178" s="5">
        <v>76.599999999999994</v>
      </c>
      <c r="V178" s="5">
        <f t="shared" si="11"/>
        <v>0</v>
      </c>
    </row>
    <row r="179" spans="1:22">
      <c r="A179" s="5" t="s">
        <v>66</v>
      </c>
      <c r="B179" s="6">
        <v>45689</v>
      </c>
      <c r="C179" s="5" t="s">
        <v>27</v>
      </c>
      <c r="D179" s="5">
        <f t="shared" si="8"/>
        <v>0</v>
      </c>
      <c r="E179" s="5">
        <f t="shared" si="9"/>
        <v>0</v>
      </c>
      <c r="F179" s="5">
        <f t="shared" si="10"/>
        <v>0</v>
      </c>
      <c r="G179" s="5" t="s">
        <v>21</v>
      </c>
      <c r="H179" s="5">
        <v>29389.32</v>
      </c>
      <c r="I179" s="5">
        <v>7925</v>
      </c>
      <c r="J179" s="5">
        <v>0.17699999999999999</v>
      </c>
      <c r="K179" s="5">
        <v>21</v>
      </c>
      <c r="L179" s="5">
        <v>90.9</v>
      </c>
      <c r="M179" s="5">
        <v>7.86</v>
      </c>
      <c r="N179" s="5">
        <v>0</v>
      </c>
      <c r="O179" s="5">
        <v>4</v>
      </c>
      <c r="P179" s="5">
        <v>783582</v>
      </c>
      <c r="Q179" s="5">
        <v>130670.93</v>
      </c>
      <c r="S179" s="5">
        <v>29389.32</v>
      </c>
      <c r="T179" s="5">
        <v>7925</v>
      </c>
      <c r="U179" s="5">
        <v>90.9</v>
      </c>
      <c r="V179" s="5">
        <f t="shared" si="11"/>
        <v>0</v>
      </c>
    </row>
    <row r="180" spans="1:22">
      <c r="A180" s="5" t="s">
        <v>66</v>
      </c>
      <c r="B180" s="6">
        <v>45717</v>
      </c>
      <c r="C180" s="5" t="s">
        <v>27</v>
      </c>
      <c r="D180" s="5">
        <f t="shared" si="8"/>
        <v>0</v>
      </c>
      <c r="E180" s="5">
        <f t="shared" si="9"/>
        <v>0</v>
      </c>
      <c r="F180" s="5">
        <f t="shared" si="10"/>
        <v>0</v>
      </c>
      <c r="G180" s="5" t="s">
        <v>21</v>
      </c>
      <c r="H180" s="5">
        <v>40535.089999999997</v>
      </c>
      <c r="I180" s="5">
        <v>8870</v>
      </c>
      <c r="J180" s="5">
        <v>4.1000000000000002E-2</v>
      </c>
      <c r="K180" s="5">
        <v>21</v>
      </c>
      <c r="L180" s="5">
        <v>86.6</v>
      </c>
      <c r="M180" s="5">
        <v>0.3</v>
      </c>
      <c r="N180" s="5">
        <v>0</v>
      </c>
      <c r="O180" s="5">
        <v>4.0999999999999996</v>
      </c>
      <c r="P180" s="5">
        <v>781955.52</v>
      </c>
      <c r="Q180" s="5">
        <v>152578.71</v>
      </c>
      <c r="S180" s="5">
        <v>40535.089999999997</v>
      </c>
      <c r="T180" s="5">
        <v>8870</v>
      </c>
      <c r="U180" s="5">
        <v>86.6</v>
      </c>
      <c r="V180" s="5">
        <f t="shared" si="11"/>
        <v>0</v>
      </c>
    </row>
    <row r="181" spans="1:22">
      <c r="A181" s="5" t="s">
        <v>66</v>
      </c>
      <c r="B181" s="6">
        <v>45748</v>
      </c>
      <c r="C181" s="5" t="s">
        <v>27</v>
      </c>
      <c r="D181" s="5">
        <f t="shared" si="8"/>
        <v>0</v>
      </c>
      <c r="E181" s="5">
        <f t="shared" si="9"/>
        <v>0</v>
      </c>
      <c r="F181" s="5">
        <f t="shared" si="10"/>
        <v>0</v>
      </c>
      <c r="G181" s="5" t="s">
        <v>21</v>
      </c>
      <c r="H181" s="5">
        <v>74881.56</v>
      </c>
      <c r="I181" s="5">
        <v>9999</v>
      </c>
      <c r="J181" s="5">
        <v>1.2999999999999999E-2</v>
      </c>
      <c r="K181" s="5">
        <v>20</v>
      </c>
      <c r="L181" s="5">
        <v>89.6</v>
      </c>
      <c r="M181" s="5">
        <v>8.44</v>
      </c>
      <c r="N181" s="5">
        <v>0</v>
      </c>
      <c r="O181" s="5">
        <v>4.0999999999999996</v>
      </c>
      <c r="P181" s="5">
        <v>898031.04</v>
      </c>
      <c r="Q181" s="5">
        <v>138666.5</v>
      </c>
      <c r="S181" s="5">
        <v>74881.56</v>
      </c>
      <c r="T181" s="5">
        <v>9999</v>
      </c>
      <c r="U181" s="5">
        <v>89.6</v>
      </c>
      <c r="V181" s="5">
        <f t="shared" si="11"/>
        <v>0</v>
      </c>
    </row>
    <row r="182" spans="1:22">
      <c r="A182" s="5" t="s">
        <v>67</v>
      </c>
      <c r="B182" s="6">
        <v>45658</v>
      </c>
      <c r="C182" s="5" t="s">
        <v>27</v>
      </c>
      <c r="D182" s="5">
        <f t="shared" si="8"/>
        <v>0</v>
      </c>
      <c r="E182" s="5">
        <f t="shared" si="9"/>
        <v>0</v>
      </c>
      <c r="F182" s="5">
        <f t="shared" si="10"/>
        <v>0</v>
      </c>
      <c r="G182" s="5" t="s">
        <v>16</v>
      </c>
      <c r="H182" s="5">
        <v>68491.11</v>
      </c>
      <c r="I182" s="5">
        <v>11154</v>
      </c>
      <c r="J182" s="5">
        <v>1E-3</v>
      </c>
      <c r="K182" s="5">
        <v>24</v>
      </c>
      <c r="L182" s="5">
        <v>89.4</v>
      </c>
      <c r="M182" s="5">
        <v>5.27</v>
      </c>
      <c r="N182" s="5">
        <v>1</v>
      </c>
      <c r="O182" s="5">
        <v>3.9</v>
      </c>
      <c r="P182" s="5">
        <v>855341.28</v>
      </c>
      <c r="Q182" s="5">
        <v>175823.8</v>
      </c>
      <c r="S182" s="5">
        <v>68491.11</v>
      </c>
      <c r="T182" s="5">
        <v>11154</v>
      </c>
      <c r="U182" s="5">
        <v>89.4</v>
      </c>
      <c r="V182" s="5">
        <f t="shared" si="11"/>
        <v>0</v>
      </c>
    </row>
    <row r="183" spans="1:22">
      <c r="A183" s="5" t="s">
        <v>67</v>
      </c>
      <c r="B183" s="6">
        <v>45689</v>
      </c>
      <c r="C183" s="5" t="s">
        <v>27</v>
      </c>
      <c r="D183" s="5">
        <f t="shared" si="8"/>
        <v>0</v>
      </c>
      <c r="E183" s="5">
        <f t="shared" si="9"/>
        <v>0</v>
      </c>
      <c r="F183" s="5">
        <f t="shared" si="10"/>
        <v>0</v>
      </c>
      <c r="G183" s="5" t="s">
        <v>16</v>
      </c>
      <c r="H183" s="5">
        <v>45209.25</v>
      </c>
      <c r="I183" s="5">
        <v>9287</v>
      </c>
      <c r="J183" s="5">
        <v>0.14099999999999999</v>
      </c>
      <c r="K183" s="5">
        <v>22</v>
      </c>
      <c r="L183" s="5">
        <v>86.4</v>
      </c>
      <c r="M183" s="5">
        <v>13.22</v>
      </c>
      <c r="N183" s="5">
        <v>0</v>
      </c>
      <c r="O183" s="5">
        <v>3.6</v>
      </c>
      <c r="P183" s="5">
        <v>751393.88</v>
      </c>
      <c r="Q183" s="5">
        <v>91480.320000000007</v>
      </c>
      <c r="S183" s="5">
        <v>45209.25</v>
      </c>
      <c r="T183" s="5">
        <v>9287</v>
      </c>
      <c r="U183" s="5">
        <v>86.4</v>
      </c>
      <c r="V183" s="5">
        <f t="shared" si="11"/>
        <v>0</v>
      </c>
    </row>
    <row r="184" spans="1:22">
      <c r="A184" s="5" t="s">
        <v>67</v>
      </c>
      <c r="B184" s="6">
        <v>45717</v>
      </c>
      <c r="C184" s="5" t="s">
        <v>27</v>
      </c>
      <c r="D184" s="5">
        <f t="shared" si="8"/>
        <v>0</v>
      </c>
      <c r="E184" s="5">
        <f t="shared" si="9"/>
        <v>0</v>
      </c>
      <c r="F184" s="5">
        <f t="shared" si="10"/>
        <v>0</v>
      </c>
      <c r="G184" s="5" t="s">
        <v>16</v>
      </c>
      <c r="H184" s="5">
        <v>63010.23</v>
      </c>
      <c r="I184" s="5">
        <v>9812</v>
      </c>
      <c r="J184" s="5">
        <v>0.113</v>
      </c>
      <c r="K184" s="5">
        <v>24</v>
      </c>
      <c r="L184" s="5">
        <v>76.8</v>
      </c>
      <c r="M184" s="5">
        <v>1.02</v>
      </c>
      <c r="N184" s="5">
        <v>1</v>
      </c>
      <c r="O184" s="5">
        <v>3.8</v>
      </c>
      <c r="P184" s="5">
        <v>761077.08</v>
      </c>
      <c r="Q184" s="5">
        <v>113605.93</v>
      </c>
      <c r="S184" s="5">
        <v>63010.23</v>
      </c>
      <c r="T184" s="5">
        <v>9812</v>
      </c>
      <c r="U184" s="5">
        <v>76.8</v>
      </c>
      <c r="V184" s="5">
        <f t="shared" si="11"/>
        <v>0</v>
      </c>
    </row>
    <row r="185" spans="1:22">
      <c r="A185" s="5" t="s">
        <v>67</v>
      </c>
      <c r="B185" s="6">
        <v>45748</v>
      </c>
      <c r="C185" s="5" t="s">
        <v>27</v>
      </c>
      <c r="D185" s="5">
        <f t="shared" si="8"/>
        <v>0</v>
      </c>
      <c r="E185" s="5">
        <f t="shared" si="9"/>
        <v>0</v>
      </c>
      <c r="F185" s="5">
        <f t="shared" si="10"/>
        <v>0</v>
      </c>
      <c r="G185" s="5" t="s">
        <v>16</v>
      </c>
      <c r="H185" s="5">
        <v>57948.88</v>
      </c>
      <c r="I185" s="5">
        <v>10741</v>
      </c>
      <c r="J185" s="5">
        <v>7.0000000000000007E-2</v>
      </c>
      <c r="K185" s="5">
        <v>25</v>
      </c>
      <c r="L185" s="5">
        <v>90.1</v>
      </c>
      <c r="M185" s="5">
        <v>4.03</v>
      </c>
      <c r="N185" s="5">
        <v>0</v>
      </c>
      <c r="O185" s="5">
        <v>3.1</v>
      </c>
      <c r="P185" s="5">
        <v>819660.59</v>
      </c>
      <c r="Q185" s="5">
        <v>172699.95</v>
      </c>
      <c r="S185" s="5">
        <v>57948.88</v>
      </c>
      <c r="T185" s="5">
        <v>10741</v>
      </c>
      <c r="U185" s="5">
        <v>90.1</v>
      </c>
      <c r="V185" s="5">
        <f t="shared" si="11"/>
        <v>0</v>
      </c>
    </row>
    <row r="186" spans="1:22">
      <c r="A186" s="5" t="s">
        <v>68</v>
      </c>
      <c r="B186" s="6">
        <v>45658</v>
      </c>
      <c r="C186" s="5" t="s">
        <v>20</v>
      </c>
      <c r="D186" s="5">
        <f t="shared" si="8"/>
        <v>1</v>
      </c>
      <c r="E186" s="5">
        <f t="shared" si="9"/>
        <v>0</v>
      </c>
      <c r="F186" s="5">
        <f t="shared" si="10"/>
        <v>0</v>
      </c>
      <c r="G186" s="5" t="s">
        <v>18</v>
      </c>
      <c r="H186" s="5">
        <v>71941.62</v>
      </c>
      <c r="I186" s="5">
        <v>6084</v>
      </c>
      <c r="J186" s="5">
        <v>7.1999999999999995E-2</v>
      </c>
      <c r="K186" s="5">
        <v>13</v>
      </c>
      <c r="L186" s="5">
        <v>93.7</v>
      </c>
      <c r="M186" s="5">
        <v>2.34</v>
      </c>
      <c r="N186" s="5">
        <v>0</v>
      </c>
      <c r="O186" s="5">
        <v>4.4000000000000004</v>
      </c>
      <c r="P186" s="5">
        <v>681855.56</v>
      </c>
      <c r="Q186" s="5">
        <v>117645.61</v>
      </c>
      <c r="S186" s="5">
        <v>71941.62</v>
      </c>
      <c r="T186" s="5">
        <v>6084</v>
      </c>
      <c r="U186" s="5">
        <v>93.7</v>
      </c>
      <c r="V186" s="5">
        <f t="shared" si="11"/>
        <v>0</v>
      </c>
    </row>
    <row r="187" spans="1:22">
      <c r="A187" s="5" t="s">
        <v>68</v>
      </c>
      <c r="B187" s="6">
        <v>45689</v>
      </c>
      <c r="C187" s="5" t="s">
        <v>20</v>
      </c>
      <c r="D187" s="5">
        <f t="shared" si="8"/>
        <v>1</v>
      </c>
      <c r="E187" s="5">
        <f t="shared" si="9"/>
        <v>0</v>
      </c>
      <c r="F187" s="5">
        <f t="shared" si="10"/>
        <v>0</v>
      </c>
      <c r="G187" s="5" t="s">
        <v>18</v>
      </c>
      <c r="H187" s="5">
        <v>57147.88</v>
      </c>
      <c r="I187" s="5">
        <v>5252</v>
      </c>
      <c r="J187" s="5">
        <v>0.161</v>
      </c>
      <c r="K187" s="5">
        <v>15</v>
      </c>
      <c r="L187" s="5">
        <v>95.5</v>
      </c>
      <c r="M187" s="5">
        <v>8.51</v>
      </c>
      <c r="N187" s="5">
        <v>0</v>
      </c>
      <c r="O187" s="5">
        <v>4.4000000000000004</v>
      </c>
      <c r="P187" s="5">
        <v>678311.17</v>
      </c>
      <c r="Q187" s="5">
        <v>132029.76000000001</v>
      </c>
      <c r="S187" s="5">
        <v>57147.88</v>
      </c>
      <c r="T187" s="5">
        <v>5252</v>
      </c>
      <c r="U187" s="5">
        <v>95.5</v>
      </c>
      <c r="V187" s="5">
        <f t="shared" si="11"/>
        <v>0</v>
      </c>
    </row>
    <row r="188" spans="1:22">
      <c r="A188" s="5" t="s">
        <v>68</v>
      </c>
      <c r="B188" s="6">
        <v>45717</v>
      </c>
      <c r="C188" s="5" t="s">
        <v>20</v>
      </c>
      <c r="D188" s="5">
        <f t="shared" si="8"/>
        <v>1</v>
      </c>
      <c r="E188" s="5">
        <f t="shared" si="9"/>
        <v>0</v>
      </c>
      <c r="F188" s="5">
        <f t="shared" si="10"/>
        <v>0</v>
      </c>
      <c r="G188" s="5" t="s">
        <v>18</v>
      </c>
      <c r="H188" s="5">
        <v>48031.74</v>
      </c>
      <c r="I188" s="5">
        <v>6516</v>
      </c>
      <c r="J188" s="5">
        <v>6.7000000000000004E-2</v>
      </c>
      <c r="K188" s="5">
        <v>14</v>
      </c>
      <c r="L188" s="5">
        <v>99</v>
      </c>
      <c r="M188" s="5">
        <v>0.48</v>
      </c>
      <c r="N188" s="5">
        <v>1</v>
      </c>
      <c r="O188" s="5">
        <v>4.3</v>
      </c>
      <c r="P188" s="5">
        <v>765906.95</v>
      </c>
      <c r="Q188" s="5">
        <v>114005.9</v>
      </c>
      <c r="S188" s="5">
        <v>48031.74</v>
      </c>
      <c r="T188" s="5">
        <v>6516</v>
      </c>
      <c r="U188" s="5">
        <v>99</v>
      </c>
      <c r="V188" s="5">
        <f t="shared" si="11"/>
        <v>0</v>
      </c>
    </row>
    <row r="189" spans="1:22">
      <c r="A189" s="5" t="s">
        <v>68</v>
      </c>
      <c r="B189" s="6">
        <v>45748</v>
      </c>
      <c r="C189" s="5" t="s">
        <v>20</v>
      </c>
      <c r="D189" s="5">
        <f t="shared" si="8"/>
        <v>1</v>
      </c>
      <c r="E189" s="5">
        <f t="shared" si="9"/>
        <v>0</v>
      </c>
      <c r="F189" s="5">
        <f t="shared" si="10"/>
        <v>0</v>
      </c>
      <c r="G189" s="5" t="s">
        <v>18</v>
      </c>
      <c r="H189" s="5">
        <v>72784.800000000003</v>
      </c>
      <c r="I189" s="5">
        <v>7932</v>
      </c>
      <c r="J189" s="5">
        <v>9.4E-2</v>
      </c>
      <c r="K189" s="5">
        <v>20</v>
      </c>
      <c r="L189" s="5">
        <v>74.900000000000006</v>
      </c>
      <c r="M189" s="5">
        <v>13.62</v>
      </c>
      <c r="N189" s="5">
        <v>0</v>
      </c>
      <c r="O189" s="5">
        <v>4.2</v>
      </c>
      <c r="P189" s="5">
        <v>712546.38</v>
      </c>
      <c r="Q189" s="5">
        <v>101480.04</v>
      </c>
      <c r="S189" s="5">
        <v>72784.800000000003</v>
      </c>
      <c r="T189" s="5">
        <v>7932</v>
      </c>
      <c r="U189" s="5">
        <v>74.900000000000006</v>
      </c>
      <c r="V189" s="5">
        <f t="shared" si="11"/>
        <v>0</v>
      </c>
    </row>
    <row r="190" spans="1:22">
      <c r="A190" s="5" t="s">
        <v>69</v>
      </c>
      <c r="B190" s="6">
        <v>45658</v>
      </c>
      <c r="C190" s="5" t="s">
        <v>15</v>
      </c>
      <c r="D190" s="5">
        <f t="shared" si="8"/>
        <v>0</v>
      </c>
      <c r="E190" s="5">
        <f t="shared" si="9"/>
        <v>0</v>
      </c>
      <c r="F190" s="5">
        <f t="shared" si="10"/>
        <v>1</v>
      </c>
      <c r="G190" s="5" t="s">
        <v>18</v>
      </c>
      <c r="H190" s="5">
        <v>71641.899999999994</v>
      </c>
      <c r="I190" s="5">
        <v>3506</v>
      </c>
      <c r="J190" s="5">
        <v>0</v>
      </c>
      <c r="K190" s="5">
        <v>11</v>
      </c>
      <c r="L190" s="5">
        <v>86.4</v>
      </c>
      <c r="M190" s="5">
        <v>7.77</v>
      </c>
      <c r="N190" s="5">
        <v>0</v>
      </c>
      <c r="O190" s="5">
        <v>4.0999999999999996</v>
      </c>
      <c r="P190" s="5">
        <v>625993.82999999996</v>
      </c>
      <c r="Q190" s="5">
        <v>98960.320000000007</v>
      </c>
      <c r="S190" s="5">
        <v>71641.899999999994</v>
      </c>
      <c r="T190" s="5">
        <v>3506</v>
      </c>
      <c r="U190" s="5">
        <v>86.4</v>
      </c>
      <c r="V190" s="5">
        <f t="shared" si="11"/>
        <v>0</v>
      </c>
    </row>
    <row r="191" spans="1:22">
      <c r="A191" s="5" t="s">
        <v>69</v>
      </c>
      <c r="B191" s="6">
        <v>45689</v>
      </c>
      <c r="C191" s="5" t="s">
        <v>15</v>
      </c>
      <c r="D191" s="5">
        <f t="shared" si="8"/>
        <v>0</v>
      </c>
      <c r="E191" s="5">
        <f t="shared" si="9"/>
        <v>0</v>
      </c>
      <c r="F191" s="5">
        <f t="shared" si="10"/>
        <v>1</v>
      </c>
      <c r="G191" s="5" t="s">
        <v>18</v>
      </c>
      <c r="H191" s="5">
        <v>55788.61</v>
      </c>
      <c r="I191" s="5">
        <v>2312</v>
      </c>
      <c r="J191" s="5">
        <v>5.8000000000000003E-2</v>
      </c>
      <c r="K191" s="5">
        <v>10</v>
      </c>
      <c r="L191" s="5">
        <v>91.3</v>
      </c>
      <c r="M191" s="5">
        <v>1.99</v>
      </c>
      <c r="N191" s="5">
        <v>0</v>
      </c>
      <c r="O191" s="5">
        <v>3.8</v>
      </c>
      <c r="P191" s="5">
        <v>550962.93000000005</v>
      </c>
      <c r="Q191" s="5">
        <v>97144.58</v>
      </c>
      <c r="S191" s="5">
        <v>55788.61</v>
      </c>
      <c r="T191" s="5">
        <v>2312</v>
      </c>
      <c r="U191" s="5">
        <v>91.3</v>
      </c>
      <c r="V191" s="5">
        <f t="shared" si="11"/>
        <v>0</v>
      </c>
    </row>
    <row r="192" spans="1:22">
      <c r="A192" s="5" t="s">
        <v>69</v>
      </c>
      <c r="B192" s="6">
        <v>45717</v>
      </c>
      <c r="C192" s="5" t="s">
        <v>15</v>
      </c>
      <c r="D192" s="5">
        <f t="shared" si="8"/>
        <v>0</v>
      </c>
      <c r="E192" s="5">
        <f t="shared" si="9"/>
        <v>0</v>
      </c>
      <c r="F192" s="5">
        <f t="shared" si="10"/>
        <v>1</v>
      </c>
      <c r="G192" s="5" t="s">
        <v>18</v>
      </c>
      <c r="H192" s="5">
        <v>37705.879999999997</v>
      </c>
      <c r="I192" s="5">
        <v>1268</v>
      </c>
      <c r="J192" s="5">
        <v>0.25900000000000001</v>
      </c>
      <c r="K192" s="5">
        <v>9</v>
      </c>
      <c r="L192" s="5">
        <v>84.1</v>
      </c>
      <c r="M192" s="5">
        <v>4.7699999999999996</v>
      </c>
      <c r="N192" s="5">
        <v>0</v>
      </c>
      <c r="O192" s="5">
        <v>3.8</v>
      </c>
      <c r="P192" s="5">
        <v>443275.59</v>
      </c>
      <c r="Q192" s="5">
        <v>53544.36</v>
      </c>
      <c r="S192" s="5">
        <v>37705.879999999997</v>
      </c>
      <c r="T192" s="5">
        <v>1268</v>
      </c>
      <c r="U192" s="5">
        <v>84.1</v>
      </c>
      <c r="V192" s="5">
        <f t="shared" si="11"/>
        <v>0</v>
      </c>
    </row>
    <row r="193" spans="1:22">
      <c r="A193" s="5" t="s">
        <v>69</v>
      </c>
      <c r="B193" s="6">
        <v>45748</v>
      </c>
      <c r="C193" s="5" t="s">
        <v>15</v>
      </c>
      <c r="D193" s="5">
        <f t="shared" si="8"/>
        <v>0</v>
      </c>
      <c r="E193" s="5">
        <f t="shared" si="9"/>
        <v>0</v>
      </c>
      <c r="F193" s="5">
        <f t="shared" si="10"/>
        <v>1</v>
      </c>
      <c r="G193" s="5" t="s">
        <v>18</v>
      </c>
      <c r="H193" s="5">
        <v>54966.18</v>
      </c>
      <c r="I193" s="5">
        <v>4423</v>
      </c>
      <c r="J193" s="5">
        <v>0.186</v>
      </c>
      <c r="K193" s="5">
        <v>13</v>
      </c>
      <c r="L193" s="5">
        <v>88.7</v>
      </c>
      <c r="M193" s="5">
        <v>0.2</v>
      </c>
      <c r="N193" s="5">
        <v>0</v>
      </c>
      <c r="O193" s="5">
        <v>4.4000000000000004</v>
      </c>
      <c r="P193" s="5">
        <v>554012.06999999995</v>
      </c>
      <c r="Q193" s="5">
        <v>81101.62</v>
      </c>
      <c r="S193" s="5">
        <v>54966.18</v>
      </c>
      <c r="T193" s="5">
        <v>4423</v>
      </c>
      <c r="U193" s="5">
        <v>88.7</v>
      </c>
      <c r="V193" s="5">
        <f t="shared" si="11"/>
        <v>0</v>
      </c>
    </row>
    <row r="194" spans="1:22">
      <c r="A194" s="5" t="s">
        <v>70</v>
      </c>
      <c r="B194" s="6">
        <v>45658</v>
      </c>
      <c r="C194" s="5" t="s">
        <v>27</v>
      </c>
      <c r="D194" s="5">
        <f t="shared" si="8"/>
        <v>0</v>
      </c>
      <c r="E194" s="5">
        <f t="shared" si="9"/>
        <v>0</v>
      </c>
      <c r="F194" s="5">
        <f t="shared" si="10"/>
        <v>0</v>
      </c>
      <c r="G194" s="5" t="s">
        <v>16</v>
      </c>
      <c r="H194" s="5">
        <v>81796.740000000005</v>
      </c>
      <c r="I194" s="5">
        <v>6177</v>
      </c>
      <c r="J194" s="5">
        <v>0.16400000000000001</v>
      </c>
      <c r="K194" s="5">
        <v>14</v>
      </c>
      <c r="L194" s="5">
        <v>87.9</v>
      </c>
      <c r="M194" s="5">
        <v>0.53</v>
      </c>
      <c r="N194" s="5">
        <v>0</v>
      </c>
      <c r="O194" s="5">
        <v>3.2</v>
      </c>
      <c r="P194" s="5">
        <v>643428.85</v>
      </c>
      <c r="Q194" s="5">
        <v>94477.63</v>
      </c>
      <c r="S194" s="5">
        <v>81796.740000000005</v>
      </c>
      <c r="T194" s="5">
        <v>6177</v>
      </c>
      <c r="U194" s="5">
        <v>87.9</v>
      </c>
      <c r="V194" s="5">
        <f t="shared" si="11"/>
        <v>0</v>
      </c>
    </row>
    <row r="195" spans="1:22">
      <c r="A195" s="5" t="s">
        <v>70</v>
      </c>
      <c r="B195" s="6">
        <v>45689</v>
      </c>
      <c r="C195" s="5" t="s">
        <v>27</v>
      </c>
      <c r="D195" s="5">
        <f t="shared" ref="D195:D258" si="12">IF(C195="North",1,0)</f>
        <v>0</v>
      </c>
      <c r="E195" s="5">
        <f t="shared" ref="E195:E258" si="13">IF(C195="South",1,0)</f>
        <v>0</v>
      </c>
      <c r="F195" s="5">
        <f t="shared" ref="F195:F258" si="14">IF(C195="East",1,0)</f>
        <v>0</v>
      </c>
      <c r="G195" s="5" t="s">
        <v>16</v>
      </c>
      <c r="H195" s="5">
        <v>51133.43</v>
      </c>
      <c r="I195" s="5">
        <v>5150</v>
      </c>
      <c r="J195" s="5">
        <v>0.15</v>
      </c>
      <c r="K195" s="5">
        <v>12</v>
      </c>
      <c r="L195" s="5">
        <v>88.5</v>
      </c>
      <c r="M195" s="5">
        <v>1.54</v>
      </c>
      <c r="N195" s="5">
        <v>0</v>
      </c>
      <c r="O195" s="5">
        <v>3.2</v>
      </c>
      <c r="P195" s="5">
        <v>611924.27</v>
      </c>
      <c r="Q195" s="5">
        <v>115488.75</v>
      </c>
      <c r="S195" s="5">
        <v>51133.43</v>
      </c>
      <c r="T195" s="5">
        <v>5150</v>
      </c>
      <c r="U195" s="5">
        <v>88.5</v>
      </c>
      <c r="V195" s="5">
        <f t="shared" ref="V195:V258" si="15">IF(U195="North",1,0)</f>
        <v>0</v>
      </c>
    </row>
    <row r="196" spans="1:22">
      <c r="A196" s="5" t="s">
        <v>70</v>
      </c>
      <c r="B196" s="6">
        <v>45717</v>
      </c>
      <c r="C196" s="5" t="s">
        <v>27</v>
      </c>
      <c r="D196" s="5">
        <f t="shared" si="12"/>
        <v>0</v>
      </c>
      <c r="E196" s="5">
        <f t="shared" si="13"/>
        <v>0</v>
      </c>
      <c r="F196" s="5">
        <f t="shared" si="14"/>
        <v>0</v>
      </c>
      <c r="G196" s="5" t="s">
        <v>16</v>
      </c>
      <c r="H196" s="5">
        <v>40220.18</v>
      </c>
      <c r="I196" s="5">
        <v>3783</v>
      </c>
      <c r="J196" s="5">
        <v>8.8999999999999996E-2</v>
      </c>
      <c r="K196" s="5">
        <v>14</v>
      </c>
      <c r="L196" s="5">
        <v>86.6</v>
      </c>
      <c r="M196" s="5">
        <v>3.63</v>
      </c>
      <c r="N196" s="5">
        <v>0</v>
      </c>
      <c r="O196" s="5">
        <v>3.7</v>
      </c>
      <c r="P196" s="5">
        <v>559422.02</v>
      </c>
      <c r="Q196" s="5">
        <v>73528.740000000005</v>
      </c>
      <c r="S196" s="5">
        <v>40220.18</v>
      </c>
      <c r="T196" s="5">
        <v>3783</v>
      </c>
      <c r="U196" s="5">
        <v>86.6</v>
      </c>
      <c r="V196" s="5">
        <f t="shared" si="15"/>
        <v>0</v>
      </c>
    </row>
    <row r="197" spans="1:22">
      <c r="A197" s="5" t="s">
        <v>70</v>
      </c>
      <c r="B197" s="6">
        <v>45748</v>
      </c>
      <c r="C197" s="5" t="s">
        <v>27</v>
      </c>
      <c r="D197" s="5">
        <f t="shared" si="12"/>
        <v>0</v>
      </c>
      <c r="E197" s="5">
        <f t="shared" si="13"/>
        <v>0</v>
      </c>
      <c r="F197" s="5">
        <f t="shared" si="14"/>
        <v>0</v>
      </c>
      <c r="G197" s="5" t="s">
        <v>16</v>
      </c>
      <c r="H197" s="5">
        <v>41657.64</v>
      </c>
      <c r="I197" s="5">
        <v>3135</v>
      </c>
      <c r="J197" s="5">
        <v>0.22900000000000001</v>
      </c>
      <c r="K197" s="5">
        <v>7</v>
      </c>
      <c r="L197" s="5">
        <v>85.4</v>
      </c>
      <c r="M197" s="5">
        <v>13.48</v>
      </c>
      <c r="N197" s="5">
        <v>0</v>
      </c>
      <c r="O197" s="5"/>
      <c r="P197" s="5">
        <v>449465.06</v>
      </c>
      <c r="Q197" s="5">
        <v>65694.78</v>
      </c>
      <c r="S197" s="5">
        <v>41657.64</v>
      </c>
      <c r="T197" s="5">
        <v>3135</v>
      </c>
      <c r="U197" s="5">
        <v>85.4</v>
      </c>
      <c r="V197" s="5">
        <f t="shared" si="15"/>
        <v>0</v>
      </c>
    </row>
    <row r="198" spans="1:22">
      <c r="A198" s="5" t="s">
        <v>71</v>
      </c>
      <c r="B198" s="6">
        <v>45658</v>
      </c>
      <c r="C198" s="5" t="s">
        <v>20</v>
      </c>
      <c r="D198" s="5">
        <f t="shared" si="12"/>
        <v>1</v>
      </c>
      <c r="E198" s="5">
        <f t="shared" si="13"/>
        <v>0</v>
      </c>
      <c r="F198" s="5">
        <f t="shared" si="14"/>
        <v>0</v>
      </c>
      <c r="G198" s="5" t="s">
        <v>16</v>
      </c>
      <c r="H198" s="5">
        <v>71851.45</v>
      </c>
      <c r="I198" s="5">
        <v>4970</v>
      </c>
      <c r="J198" s="5">
        <v>9.8000000000000004E-2</v>
      </c>
      <c r="K198" s="5">
        <v>11</v>
      </c>
      <c r="L198" s="5">
        <v>89.6</v>
      </c>
      <c r="M198" s="5">
        <v>0.2</v>
      </c>
      <c r="N198" s="5">
        <v>0</v>
      </c>
      <c r="O198" s="5">
        <v>4.2</v>
      </c>
      <c r="P198" s="5">
        <v>691447.43</v>
      </c>
      <c r="Q198" s="5">
        <v>114077.69</v>
      </c>
      <c r="S198" s="5">
        <v>71851.45</v>
      </c>
      <c r="T198" s="5">
        <v>4970</v>
      </c>
      <c r="U198" s="5">
        <v>89.6</v>
      </c>
      <c r="V198" s="5">
        <f t="shared" si="15"/>
        <v>0</v>
      </c>
    </row>
    <row r="199" spans="1:22">
      <c r="A199" s="5" t="s">
        <v>71</v>
      </c>
      <c r="B199" s="6">
        <v>45689</v>
      </c>
      <c r="C199" s="5" t="s">
        <v>20</v>
      </c>
      <c r="D199" s="5">
        <f t="shared" si="12"/>
        <v>1</v>
      </c>
      <c r="E199" s="5">
        <f t="shared" si="13"/>
        <v>0</v>
      </c>
      <c r="F199" s="5">
        <f t="shared" si="14"/>
        <v>0</v>
      </c>
      <c r="G199" s="5" t="s">
        <v>16</v>
      </c>
      <c r="H199" s="5">
        <v>54002.83</v>
      </c>
      <c r="I199" s="5">
        <v>4366</v>
      </c>
      <c r="J199" s="5">
        <v>2.7E-2</v>
      </c>
      <c r="K199" s="5">
        <v>15</v>
      </c>
      <c r="L199" s="5">
        <v>90.6</v>
      </c>
      <c r="M199" s="5">
        <v>12.82</v>
      </c>
      <c r="N199" s="5">
        <v>0</v>
      </c>
      <c r="O199" s="5">
        <v>4.5999999999999996</v>
      </c>
      <c r="P199" s="5">
        <v>574066.61</v>
      </c>
      <c r="Q199" s="5">
        <v>124674.67</v>
      </c>
      <c r="S199" s="5">
        <v>54002.83</v>
      </c>
      <c r="T199" s="5">
        <v>4366</v>
      </c>
      <c r="U199" s="5">
        <v>90.6</v>
      </c>
      <c r="V199" s="5">
        <f t="shared" si="15"/>
        <v>0</v>
      </c>
    </row>
    <row r="200" spans="1:22">
      <c r="A200" s="5" t="s">
        <v>71</v>
      </c>
      <c r="B200" s="6">
        <v>45717</v>
      </c>
      <c r="C200" s="5" t="s">
        <v>20</v>
      </c>
      <c r="D200" s="5">
        <f t="shared" si="12"/>
        <v>1</v>
      </c>
      <c r="E200" s="5">
        <f t="shared" si="13"/>
        <v>0</v>
      </c>
      <c r="F200" s="5">
        <f t="shared" si="14"/>
        <v>0</v>
      </c>
      <c r="G200" s="5" t="s">
        <v>16</v>
      </c>
      <c r="H200" s="5">
        <v>54479.33</v>
      </c>
      <c r="I200" s="5">
        <v>5012</v>
      </c>
      <c r="J200" s="5">
        <v>0.28399999999999997</v>
      </c>
      <c r="K200" s="5">
        <v>13</v>
      </c>
      <c r="L200" s="5">
        <v>86</v>
      </c>
      <c r="M200" s="5">
        <v>2.2400000000000002</v>
      </c>
      <c r="N200" s="5">
        <v>1</v>
      </c>
      <c r="O200" s="5">
        <v>4.3</v>
      </c>
      <c r="P200" s="5">
        <v>578949.84</v>
      </c>
      <c r="Q200" s="5">
        <v>80253.649999999994</v>
      </c>
      <c r="S200" s="5">
        <v>54479.33</v>
      </c>
      <c r="T200" s="5">
        <v>5012</v>
      </c>
      <c r="U200" s="5">
        <v>86</v>
      </c>
      <c r="V200" s="5">
        <f t="shared" si="15"/>
        <v>0</v>
      </c>
    </row>
    <row r="201" spans="1:22">
      <c r="A201" s="5" t="s">
        <v>71</v>
      </c>
      <c r="B201" s="6">
        <v>45748</v>
      </c>
      <c r="C201" s="5" t="s">
        <v>20</v>
      </c>
      <c r="D201" s="5">
        <f t="shared" si="12"/>
        <v>1</v>
      </c>
      <c r="E201" s="5">
        <f t="shared" si="13"/>
        <v>0</v>
      </c>
      <c r="F201" s="5">
        <f t="shared" si="14"/>
        <v>0</v>
      </c>
      <c r="G201" s="5" t="s">
        <v>16</v>
      </c>
      <c r="H201" s="5">
        <v>61391.8</v>
      </c>
      <c r="I201" s="5">
        <v>5575</v>
      </c>
      <c r="J201" s="5">
        <v>0.189</v>
      </c>
      <c r="K201" s="5">
        <v>18</v>
      </c>
      <c r="L201" s="5">
        <v>90</v>
      </c>
      <c r="M201" s="5">
        <v>1.8</v>
      </c>
      <c r="N201" s="5">
        <v>0</v>
      </c>
      <c r="O201" s="5">
        <v>4.8</v>
      </c>
      <c r="P201" s="5">
        <v>735786.64</v>
      </c>
      <c r="Q201" s="5">
        <v>126540.66</v>
      </c>
      <c r="S201" s="5">
        <v>61391.8</v>
      </c>
      <c r="T201" s="5">
        <v>5575</v>
      </c>
      <c r="U201" s="5">
        <v>90</v>
      </c>
      <c r="V201" s="5">
        <f t="shared" si="15"/>
        <v>0</v>
      </c>
    </row>
    <row r="202" spans="1:22">
      <c r="A202" s="5" t="s">
        <v>72</v>
      </c>
      <c r="B202" s="6">
        <v>45658</v>
      </c>
      <c r="C202" s="5" t="s">
        <v>15</v>
      </c>
      <c r="D202" s="5">
        <f t="shared" si="12"/>
        <v>0</v>
      </c>
      <c r="E202" s="5">
        <f t="shared" si="13"/>
        <v>0</v>
      </c>
      <c r="F202" s="5">
        <f t="shared" si="14"/>
        <v>1</v>
      </c>
      <c r="G202" s="5" t="s">
        <v>21</v>
      </c>
      <c r="H202" s="5">
        <v>22312.93</v>
      </c>
      <c r="I202" s="5">
        <v>5955</v>
      </c>
      <c r="J202" s="5">
        <v>0.123</v>
      </c>
      <c r="K202" s="5">
        <v>13</v>
      </c>
      <c r="L202" s="5">
        <v>84.2</v>
      </c>
      <c r="M202" s="5">
        <v>0.41</v>
      </c>
      <c r="N202" s="5">
        <v>1</v>
      </c>
      <c r="O202" s="5">
        <v>4.5999999999999996</v>
      </c>
      <c r="P202" s="5">
        <v>598904.9</v>
      </c>
      <c r="Q202" s="5">
        <v>72861</v>
      </c>
      <c r="S202" s="5">
        <v>22312.93</v>
      </c>
      <c r="T202" s="5">
        <v>5955</v>
      </c>
      <c r="U202" s="5">
        <v>84.2</v>
      </c>
      <c r="V202" s="5">
        <f t="shared" si="15"/>
        <v>0</v>
      </c>
    </row>
    <row r="203" spans="1:22">
      <c r="A203" s="5" t="s">
        <v>72</v>
      </c>
      <c r="B203" s="6">
        <v>45689</v>
      </c>
      <c r="C203" s="5" t="s">
        <v>15</v>
      </c>
      <c r="D203" s="5">
        <f t="shared" si="12"/>
        <v>0</v>
      </c>
      <c r="E203" s="5">
        <f t="shared" si="13"/>
        <v>0</v>
      </c>
      <c r="F203" s="5">
        <f t="shared" si="14"/>
        <v>1</v>
      </c>
      <c r="G203" s="5" t="s">
        <v>21</v>
      </c>
      <c r="H203" s="5">
        <v>78111.97</v>
      </c>
      <c r="I203" s="5">
        <v>6389</v>
      </c>
      <c r="J203" s="5">
        <v>0.15</v>
      </c>
      <c r="K203" s="5">
        <v>13</v>
      </c>
      <c r="L203" s="5">
        <v>83.9</v>
      </c>
      <c r="M203" s="5">
        <v>3.05</v>
      </c>
      <c r="N203" s="5">
        <v>0</v>
      </c>
      <c r="O203" s="5">
        <v>4.8</v>
      </c>
      <c r="P203" s="5">
        <v>787715.51</v>
      </c>
      <c r="Q203" s="5">
        <v>128969.62</v>
      </c>
      <c r="S203" s="5">
        <v>78111.97</v>
      </c>
      <c r="T203" s="5">
        <v>6389</v>
      </c>
      <c r="U203" s="5">
        <v>83.9</v>
      </c>
      <c r="V203" s="5">
        <f t="shared" si="15"/>
        <v>0</v>
      </c>
    </row>
    <row r="204" spans="1:22">
      <c r="A204" s="5" t="s">
        <v>72</v>
      </c>
      <c r="B204" s="6">
        <v>45717</v>
      </c>
      <c r="C204" s="5" t="s">
        <v>15</v>
      </c>
      <c r="D204" s="5">
        <f t="shared" si="12"/>
        <v>0</v>
      </c>
      <c r="E204" s="5">
        <f t="shared" si="13"/>
        <v>0</v>
      </c>
      <c r="F204" s="5">
        <f t="shared" si="14"/>
        <v>1</v>
      </c>
      <c r="G204" s="5" t="s">
        <v>21</v>
      </c>
      <c r="H204" s="5">
        <v>35203.230000000003</v>
      </c>
      <c r="I204" s="5">
        <v>6896</v>
      </c>
      <c r="J204" s="5">
        <v>3.2000000000000001E-2</v>
      </c>
      <c r="K204" s="5">
        <v>14</v>
      </c>
      <c r="L204" s="5">
        <v>80.8</v>
      </c>
      <c r="M204" s="5">
        <v>8.44</v>
      </c>
      <c r="N204" s="5">
        <v>1</v>
      </c>
      <c r="O204" s="5">
        <v>5</v>
      </c>
      <c r="P204" s="5">
        <v>607084.92000000004</v>
      </c>
      <c r="Q204" s="5">
        <v>98558.49</v>
      </c>
      <c r="S204" s="5">
        <v>35203.230000000003</v>
      </c>
      <c r="T204" s="5">
        <v>6896</v>
      </c>
      <c r="U204" s="5">
        <v>80.8</v>
      </c>
      <c r="V204" s="5">
        <f t="shared" si="15"/>
        <v>0</v>
      </c>
    </row>
    <row r="205" spans="1:22">
      <c r="A205" s="5" t="s">
        <v>72</v>
      </c>
      <c r="B205" s="6">
        <v>45748</v>
      </c>
      <c r="C205" s="5" t="s">
        <v>15</v>
      </c>
      <c r="D205" s="5">
        <f t="shared" si="12"/>
        <v>0</v>
      </c>
      <c r="E205" s="5">
        <f t="shared" si="13"/>
        <v>0</v>
      </c>
      <c r="F205" s="5">
        <f t="shared" si="14"/>
        <v>1</v>
      </c>
      <c r="G205" s="5" t="s">
        <v>21</v>
      </c>
      <c r="H205" s="5">
        <v>64104.28</v>
      </c>
      <c r="I205" s="5">
        <v>6015</v>
      </c>
      <c r="J205" s="5">
        <v>0.127</v>
      </c>
      <c r="K205" s="5">
        <v>15</v>
      </c>
      <c r="L205" s="5">
        <v>88.7</v>
      </c>
      <c r="M205" s="5">
        <v>0.78</v>
      </c>
      <c r="N205" s="5">
        <v>0</v>
      </c>
      <c r="O205" s="5">
        <v>4</v>
      </c>
      <c r="P205" s="5">
        <v>650795.49</v>
      </c>
      <c r="Q205" s="5">
        <v>103035.89</v>
      </c>
      <c r="S205" s="5">
        <v>64104.28</v>
      </c>
      <c r="T205" s="5">
        <v>6015</v>
      </c>
      <c r="U205" s="5">
        <v>88.7</v>
      </c>
      <c r="V205" s="5">
        <f t="shared" si="15"/>
        <v>0</v>
      </c>
    </row>
    <row r="206" spans="1:22">
      <c r="A206" s="5" t="s">
        <v>73</v>
      </c>
      <c r="B206" s="6">
        <v>45658</v>
      </c>
      <c r="C206" s="5" t="s">
        <v>15</v>
      </c>
      <c r="D206" s="5">
        <f t="shared" si="12"/>
        <v>0</v>
      </c>
      <c r="E206" s="5">
        <f t="shared" si="13"/>
        <v>0</v>
      </c>
      <c r="F206" s="5">
        <f t="shared" si="14"/>
        <v>1</v>
      </c>
      <c r="G206" s="5" t="s">
        <v>28</v>
      </c>
      <c r="H206" s="5">
        <v>92090.14</v>
      </c>
      <c r="I206" s="5">
        <v>9476</v>
      </c>
      <c r="J206" s="5">
        <v>7.0000000000000007E-2</v>
      </c>
      <c r="K206" s="5">
        <v>24</v>
      </c>
      <c r="L206" s="5">
        <v>94.3</v>
      </c>
      <c r="M206" s="5">
        <v>0.87</v>
      </c>
      <c r="N206" s="5">
        <v>0</v>
      </c>
      <c r="O206" s="5">
        <v>3.7</v>
      </c>
      <c r="P206" s="5">
        <v>825060.52</v>
      </c>
      <c r="Q206" s="5">
        <v>143613.15</v>
      </c>
      <c r="S206" s="5">
        <v>92090.14</v>
      </c>
      <c r="T206" s="5">
        <v>9476</v>
      </c>
      <c r="U206" s="5">
        <v>94.3</v>
      </c>
      <c r="V206" s="5">
        <f t="shared" si="15"/>
        <v>0</v>
      </c>
    </row>
    <row r="207" spans="1:22">
      <c r="A207" s="5" t="s">
        <v>73</v>
      </c>
      <c r="B207" s="6">
        <v>45689</v>
      </c>
      <c r="C207" s="5" t="s">
        <v>15</v>
      </c>
      <c r="D207" s="5">
        <f t="shared" si="12"/>
        <v>0</v>
      </c>
      <c r="E207" s="5">
        <f t="shared" si="13"/>
        <v>0</v>
      </c>
      <c r="F207" s="5">
        <f t="shared" si="14"/>
        <v>1</v>
      </c>
      <c r="G207" s="5" t="s">
        <v>28</v>
      </c>
      <c r="H207" s="5">
        <v>54300.87</v>
      </c>
      <c r="I207" s="5">
        <v>7875</v>
      </c>
      <c r="J207" s="5">
        <v>0.107</v>
      </c>
      <c r="K207" s="5">
        <v>19</v>
      </c>
      <c r="L207" s="5">
        <v>94.1</v>
      </c>
      <c r="M207" s="5">
        <v>0.95</v>
      </c>
      <c r="N207" s="5">
        <v>0</v>
      </c>
      <c r="O207" s="5">
        <v>3.7</v>
      </c>
      <c r="P207" s="5">
        <v>795464.47</v>
      </c>
      <c r="Q207" s="5">
        <v>161150.51999999999</v>
      </c>
      <c r="S207" s="5">
        <v>54300.87</v>
      </c>
      <c r="T207" s="5">
        <v>7875</v>
      </c>
      <c r="U207" s="5">
        <v>94.1</v>
      </c>
      <c r="V207" s="5">
        <f t="shared" si="15"/>
        <v>0</v>
      </c>
    </row>
    <row r="208" spans="1:22">
      <c r="A208" s="5" t="s">
        <v>73</v>
      </c>
      <c r="B208" s="6">
        <v>45717</v>
      </c>
      <c r="C208" s="5" t="s">
        <v>15</v>
      </c>
      <c r="D208" s="5">
        <f t="shared" si="12"/>
        <v>0</v>
      </c>
      <c r="E208" s="5">
        <f t="shared" si="13"/>
        <v>0</v>
      </c>
      <c r="F208" s="5">
        <f t="shared" si="14"/>
        <v>1</v>
      </c>
      <c r="G208" s="5" t="s">
        <v>28</v>
      </c>
      <c r="H208" s="5">
        <v>37983.35</v>
      </c>
      <c r="I208" s="5">
        <v>9283</v>
      </c>
      <c r="J208" s="5">
        <v>0.14899999999999999</v>
      </c>
      <c r="K208" s="5">
        <v>19</v>
      </c>
      <c r="L208" s="5">
        <v>83.2</v>
      </c>
      <c r="M208" s="5">
        <v>3.82</v>
      </c>
      <c r="N208" s="5">
        <v>0</v>
      </c>
      <c r="O208" s="5">
        <v>3.7</v>
      </c>
      <c r="P208" s="5">
        <v>671868.59</v>
      </c>
      <c r="Q208" s="5">
        <v>71003.28</v>
      </c>
      <c r="S208" s="5">
        <v>37983.35</v>
      </c>
      <c r="T208" s="5">
        <v>9283</v>
      </c>
      <c r="U208" s="5">
        <v>83.2</v>
      </c>
      <c r="V208" s="5">
        <f t="shared" si="15"/>
        <v>0</v>
      </c>
    </row>
    <row r="209" spans="1:22">
      <c r="A209" s="5" t="s">
        <v>73</v>
      </c>
      <c r="B209" s="6">
        <v>45748</v>
      </c>
      <c r="C209" s="5" t="s">
        <v>15</v>
      </c>
      <c r="D209" s="5">
        <f t="shared" si="12"/>
        <v>0</v>
      </c>
      <c r="E209" s="5">
        <f t="shared" si="13"/>
        <v>0</v>
      </c>
      <c r="F209" s="5">
        <f t="shared" si="14"/>
        <v>1</v>
      </c>
      <c r="G209" s="5" t="s">
        <v>28</v>
      </c>
      <c r="H209" s="5">
        <v>56413.83</v>
      </c>
      <c r="I209" s="5">
        <v>8303</v>
      </c>
      <c r="J209" s="5">
        <v>0.11600000000000001</v>
      </c>
      <c r="K209" s="5">
        <v>18</v>
      </c>
      <c r="L209" s="5">
        <v>93.6</v>
      </c>
      <c r="M209" s="5">
        <v>2.7</v>
      </c>
      <c r="N209" s="5">
        <v>0</v>
      </c>
      <c r="O209" s="5">
        <v>3.7</v>
      </c>
      <c r="P209" s="5">
        <v>675917.63</v>
      </c>
      <c r="Q209" s="5">
        <v>112564.75</v>
      </c>
      <c r="S209" s="5">
        <v>56413.83</v>
      </c>
      <c r="T209" s="5">
        <v>8303</v>
      </c>
      <c r="U209" s="5">
        <v>93.6</v>
      </c>
      <c r="V209" s="5">
        <f t="shared" si="15"/>
        <v>0</v>
      </c>
    </row>
    <row r="210" spans="1:22">
      <c r="A210" s="5" t="s">
        <v>74</v>
      </c>
      <c r="B210" s="6">
        <v>45658</v>
      </c>
      <c r="C210" s="5" t="s">
        <v>15</v>
      </c>
      <c r="D210" s="5">
        <f t="shared" si="12"/>
        <v>0</v>
      </c>
      <c r="E210" s="5">
        <f t="shared" si="13"/>
        <v>0</v>
      </c>
      <c r="F210" s="5">
        <f t="shared" si="14"/>
        <v>1</v>
      </c>
      <c r="G210" s="5" t="s">
        <v>18</v>
      </c>
      <c r="H210" s="5">
        <v>63457.19</v>
      </c>
      <c r="I210" s="5">
        <v>10125</v>
      </c>
      <c r="J210" s="5">
        <v>9.7000000000000003E-2</v>
      </c>
      <c r="K210" s="5">
        <v>24</v>
      </c>
      <c r="L210" s="5">
        <v>87</v>
      </c>
      <c r="M210" s="5">
        <v>3.84</v>
      </c>
      <c r="N210" s="5">
        <v>1</v>
      </c>
      <c r="O210" s="5">
        <v>3.7</v>
      </c>
      <c r="P210" s="5">
        <v>810446.53</v>
      </c>
      <c r="Q210" s="5">
        <v>200575.34</v>
      </c>
      <c r="S210" s="5">
        <v>63457.19</v>
      </c>
      <c r="T210" s="5">
        <v>10125</v>
      </c>
      <c r="U210" s="5">
        <v>87</v>
      </c>
      <c r="V210" s="5">
        <f t="shared" si="15"/>
        <v>0</v>
      </c>
    </row>
    <row r="211" spans="1:22">
      <c r="A211" s="5" t="s">
        <v>74</v>
      </c>
      <c r="B211" s="6">
        <v>45689</v>
      </c>
      <c r="C211" s="5" t="s">
        <v>15</v>
      </c>
      <c r="D211" s="5">
        <f t="shared" si="12"/>
        <v>0</v>
      </c>
      <c r="E211" s="5">
        <f t="shared" si="13"/>
        <v>0</v>
      </c>
      <c r="F211" s="5">
        <f t="shared" si="14"/>
        <v>1</v>
      </c>
      <c r="G211" s="5" t="s">
        <v>18</v>
      </c>
      <c r="H211" s="5">
        <v>62949.7</v>
      </c>
      <c r="I211" s="5">
        <v>9458</v>
      </c>
      <c r="J211" s="5">
        <v>0.17100000000000001</v>
      </c>
      <c r="K211" s="5">
        <v>19</v>
      </c>
      <c r="L211" s="5">
        <v>84.9</v>
      </c>
      <c r="M211" s="5">
        <v>5.09</v>
      </c>
      <c r="N211" s="5">
        <v>0</v>
      </c>
      <c r="O211" s="5">
        <v>3.3</v>
      </c>
      <c r="P211" s="5">
        <v>691288.19</v>
      </c>
      <c r="Q211" s="5">
        <v>159074.14000000001</v>
      </c>
      <c r="S211" s="5">
        <v>62949.7</v>
      </c>
      <c r="T211" s="5">
        <v>9458</v>
      </c>
      <c r="U211" s="5">
        <v>84.9</v>
      </c>
      <c r="V211" s="5">
        <f t="shared" si="15"/>
        <v>0</v>
      </c>
    </row>
    <row r="212" spans="1:22">
      <c r="A212" s="5" t="s">
        <v>74</v>
      </c>
      <c r="B212" s="6">
        <v>45717</v>
      </c>
      <c r="C212" s="5" t="s">
        <v>15</v>
      </c>
      <c r="D212" s="5">
        <f t="shared" si="12"/>
        <v>0</v>
      </c>
      <c r="E212" s="5">
        <f t="shared" si="13"/>
        <v>0</v>
      </c>
      <c r="F212" s="5">
        <f t="shared" si="14"/>
        <v>1</v>
      </c>
      <c r="G212" s="5" t="s">
        <v>18</v>
      </c>
      <c r="H212" s="5">
        <v>107970.19</v>
      </c>
      <c r="I212" s="5">
        <v>12870</v>
      </c>
      <c r="J212" s="5">
        <v>2.9000000000000001E-2</v>
      </c>
      <c r="K212" s="5">
        <v>31</v>
      </c>
      <c r="L212" s="5">
        <v>91.7</v>
      </c>
      <c r="M212" s="5">
        <v>3.82</v>
      </c>
      <c r="N212" s="5">
        <v>1</v>
      </c>
      <c r="O212" s="5">
        <v>3.7</v>
      </c>
      <c r="P212" s="5">
        <v>946833.54</v>
      </c>
      <c r="Q212" s="5">
        <v>184540.31</v>
      </c>
      <c r="S212" s="5">
        <v>107970.19</v>
      </c>
      <c r="T212" s="5">
        <v>12870</v>
      </c>
      <c r="U212" s="5">
        <v>91.7</v>
      </c>
      <c r="V212" s="5">
        <f t="shared" si="15"/>
        <v>0</v>
      </c>
    </row>
    <row r="213" spans="1:22">
      <c r="A213" s="5" t="s">
        <v>74</v>
      </c>
      <c r="B213" s="6">
        <v>45748</v>
      </c>
      <c r="C213" s="5" t="s">
        <v>15</v>
      </c>
      <c r="D213" s="5">
        <f t="shared" si="12"/>
        <v>0</v>
      </c>
      <c r="E213" s="5">
        <f t="shared" si="13"/>
        <v>0</v>
      </c>
      <c r="F213" s="5">
        <f t="shared" si="14"/>
        <v>1</v>
      </c>
      <c r="G213" s="5" t="s">
        <v>18</v>
      </c>
      <c r="H213" s="5">
        <v>49405.75</v>
      </c>
      <c r="I213" s="5">
        <v>9752</v>
      </c>
      <c r="J213" s="5">
        <v>9.2999999999999999E-2</v>
      </c>
      <c r="K213" s="5">
        <v>21</v>
      </c>
      <c r="L213" s="5">
        <v>87</v>
      </c>
      <c r="M213" s="5">
        <v>12.28</v>
      </c>
      <c r="N213" s="5">
        <v>0</v>
      </c>
      <c r="O213" s="5">
        <v>4.0999999999999996</v>
      </c>
      <c r="P213" s="5">
        <v>761963.23</v>
      </c>
      <c r="Q213" s="5">
        <v>150113.60999999999</v>
      </c>
      <c r="S213" s="5">
        <v>49405.75</v>
      </c>
      <c r="T213" s="5">
        <v>9752</v>
      </c>
      <c r="U213" s="5">
        <v>87</v>
      </c>
      <c r="V213" s="5">
        <f t="shared" si="15"/>
        <v>0</v>
      </c>
    </row>
    <row r="214" spans="1:22">
      <c r="A214" s="5" t="s">
        <v>75</v>
      </c>
      <c r="B214" s="6">
        <v>45658</v>
      </c>
      <c r="C214" s="5" t="s">
        <v>27</v>
      </c>
      <c r="D214" s="5">
        <f t="shared" si="12"/>
        <v>0</v>
      </c>
      <c r="E214" s="5">
        <f t="shared" si="13"/>
        <v>0</v>
      </c>
      <c r="F214" s="5">
        <f t="shared" si="14"/>
        <v>0</v>
      </c>
      <c r="G214" s="5" t="s">
        <v>16</v>
      </c>
      <c r="H214" s="5">
        <v>50887.46</v>
      </c>
      <c r="I214" s="5">
        <v>9505</v>
      </c>
      <c r="J214" s="5">
        <v>9.0999999999999998E-2</v>
      </c>
      <c r="K214" s="5">
        <v>25</v>
      </c>
      <c r="L214" s="5">
        <v>89.7</v>
      </c>
      <c r="M214" s="5">
        <v>2.8</v>
      </c>
      <c r="N214" s="5">
        <v>0</v>
      </c>
      <c r="O214" s="5">
        <v>4.3</v>
      </c>
      <c r="P214" s="5">
        <v>812152.6</v>
      </c>
      <c r="Q214" s="5">
        <v>138419.43</v>
      </c>
      <c r="S214" s="5">
        <v>50887.46</v>
      </c>
      <c r="T214" s="5">
        <v>9505</v>
      </c>
      <c r="U214" s="5">
        <v>89.7</v>
      </c>
      <c r="V214" s="5">
        <f t="shared" si="15"/>
        <v>0</v>
      </c>
    </row>
    <row r="215" spans="1:22">
      <c r="A215" s="5" t="s">
        <v>75</v>
      </c>
      <c r="B215" s="6">
        <v>45689</v>
      </c>
      <c r="C215" s="5" t="s">
        <v>27</v>
      </c>
      <c r="D215" s="5">
        <f t="shared" si="12"/>
        <v>0</v>
      </c>
      <c r="E215" s="5">
        <f t="shared" si="13"/>
        <v>0</v>
      </c>
      <c r="F215" s="5">
        <f t="shared" si="14"/>
        <v>0</v>
      </c>
      <c r="G215" s="5" t="s">
        <v>16</v>
      </c>
      <c r="H215" s="5">
        <v>41819.449999999997</v>
      </c>
      <c r="I215" s="5">
        <v>9412</v>
      </c>
      <c r="J215" s="5">
        <v>0.15</v>
      </c>
      <c r="K215" s="5">
        <v>22</v>
      </c>
      <c r="L215" s="5">
        <v>91</v>
      </c>
      <c r="M215" s="5">
        <v>3.67</v>
      </c>
      <c r="N215" s="5">
        <v>0</v>
      </c>
      <c r="O215" s="5">
        <v>4.2</v>
      </c>
      <c r="P215" s="5">
        <v>804975.5</v>
      </c>
      <c r="Q215" s="5">
        <v>140054.5</v>
      </c>
      <c r="S215" s="5">
        <v>41819.449999999997</v>
      </c>
      <c r="T215" s="5">
        <v>9412</v>
      </c>
      <c r="U215" s="5">
        <v>91</v>
      </c>
      <c r="V215" s="5">
        <f t="shared" si="15"/>
        <v>0</v>
      </c>
    </row>
    <row r="216" spans="1:22">
      <c r="A216" s="5" t="s">
        <v>75</v>
      </c>
      <c r="B216" s="6">
        <v>45717</v>
      </c>
      <c r="C216" s="5" t="s">
        <v>27</v>
      </c>
      <c r="D216" s="5">
        <f t="shared" si="12"/>
        <v>0</v>
      </c>
      <c r="E216" s="5">
        <f t="shared" si="13"/>
        <v>0</v>
      </c>
      <c r="F216" s="5">
        <f t="shared" si="14"/>
        <v>0</v>
      </c>
      <c r="G216" s="5" t="s">
        <v>16</v>
      </c>
      <c r="H216" s="5">
        <v>35296.54</v>
      </c>
      <c r="I216" s="5">
        <v>9644</v>
      </c>
      <c r="J216" s="5">
        <v>0</v>
      </c>
      <c r="K216" s="5">
        <v>22</v>
      </c>
      <c r="L216" s="5">
        <v>88</v>
      </c>
      <c r="M216" s="5">
        <v>2.81</v>
      </c>
      <c r="N216" s="5">
        <v>0</v>
      </c>
      <c r="O216" s="5">
        <v>4.7</v>
      </c>
      <c r="P216" s="5">
        <v>752321.72</v>
      </c>
      <c r="Q216" s="5">
        <v>137788.51</v>
      </c>
      <c r="S216" s="5">
        <v>35296.54</v>
      </c>
      <c r="T216" s="5">
        <v>9644</v>
      </c>
      <c r="U216" s="5">
        <v>88</v>
      </c>
      <c r="V216" s="5">
        <f t="shared" si="15"/>
        <v>0</v>
      </c>
    </row>
    <row r="217" spans="1:22">
      <c r="A217" s="5" t="s">
        <v>75</v>
      </c>
      <c r="B217" s="6">
        <v>45748</v>
      </c>
      <c r="C217" s="5" t="s">
        <v>27</v>
      </c>
      <c r="D217" s="5">
        <f t="shared" si="12"/>
        <v>0</v>
      </c>
      <c r="E217" s="5">
        <f t="shared" si="13"/>
        <v>0</v>
      </c>
      <c r="F217" s="5">
        <f t="shared" si="14"/>
        <v>0</v>
      </c>
      <c r="G217" s="5" t="s">
        <v>16</v>
      </c>
      <c r="H217" s="5">
        <v>47391.09</v>
      </c>
      <c r="I217" s="5">
        <v>11224</v>
      </c>
      <c r="J217" s="5">
        <v>0.14699999999999999</v>
      </c>
      <c r="K217" s="5">
        <v>25</v>
      </c>
      <c r="L217" s="5">
        <v>88.4</v>
      </c>
      <c r="M217" s="5">
        <v>2.44</v>
      </c>
      <c r="N217" s="5">
        <v>0</v>
      </c>
      <c r="O217" s="5">
        <v>4.9000000000000004</v>
      </c>
      <c r="P217" s="5">
        <v>836908.24</v>
      </c>
      <c r="Q217" s="5">
        <v>141090.26</v>
      </c>
      <c r="S217" s="5">
        <v>47391.09</v>
      </c>
      <c r="T217" s="5">
        <v>11224</v>
      </c>
      <c r="U217" s="5">
        <v>88.4</v>
      </c>
      <c r="V217" s="5">
        <f t="shared" si="15"/>
        <v>0</v>
      </c>
    </row>
    <row r="218" spans="1:22">
      <c r="A218" s="5" t="s">
        <v>76</v>
      </c>
      <c r="B218" s="6">
        <v>45658</v>
      </c>
      <c r="C218" s="5" t="s">
        <v>20</v>
      </c>
      <c r="D218" s="5">
        <f t="shared" si="12"/>
        <v>1</v>
      </c>
      <c r="E218" s="5">
        <f t="shared" si="13"/>
        <v>0</v>
      </c>
      <c r="F218" s="5">
        <f t="shared" si="14"/>
        <v>0</v>
      </c>
      <c r="G218" s="5" t="s">
        <v>21</v>
      </c>
      <c r="H218" s="5">
        <v>69180.539999999994</v>
      </c>
      <c r="I218" s="5">
        <v>5394</v>
      </c>
      <c r="J218" s="5">
        <v>0.126</v>
      </c>
      <c r="K218" s="5">
        <v>12</v>
      </c>
      <c r="L218" s="5">
        <v>82.9</v>
      </c>
      <c r="M218" s="5">
        <v>3.27</v>
      </c>
      <c r="N218" s="5">
        <v>0</v>
      </c>
      <c r="O218" s="5">
        <v>3.3</v>
      </c>
      <c r="P218" s="5">
        <v>674289.1</v>
      </c>
      <c r="Q218" s="5">
        <v>117773.79</v>
      </c>
      <c r="S218" s="5">
        <v>69180.539999999994</v>
      </c>
      <c r="T218" s="5">
        <v>5394</v>
      </c>
      <c r="U218" s="5">
        <v>82.9</v>
      </c>
      <c r="V218" s="5">
        <f t="shared" si="15"/>
        <v>0</v>
      </c>
    </row>
    <row r="219" spans="1:22">
      <c r="A219" s="5" t="s">
        <v>76</v>
      </c>
      <c r="B219" s="6">
        <v>45689</v>
      </c>
      <c r="C219" s="5" t="s">
        <v>20</v>
      </c>
      <c r="D219" s="5">
        <f t="shared" si="12"/>
        <v>1</v>
      </c>
      <c r="E219" s="5">
        <f t="shared" si="13"/>
        <v>0</v>
      </c>
      <c r="F219" s="5">
        <f t="shared" si="14"/>
        <v>0</v>
      </c>
      <c r="G219" s="5" t="s">
        <v>21</v>
      </c>
      <c r="H219" s="5">
        <v>33987.33</v>
      </c>
      <c r="I219" s="5">
        <v>5014</v>
      </c>
      <c r="J219" s="5">
        <v>0.246</v>
      </c>
      <c r="K219" s="5">
        <v>17</v>
      </c>
      <c r="L219" s="5">
        <v>94.3</v>
      </c>
      <c r="M219" s="5">
        <v>10.34</v>
      </c>
      <c r="N219" s="5">
        <v>0</v>
      </c>
      <c r="O219" s="5">
        <v>3.9</v>
      </c>
      <c r="P219" s="5">
        <v>622892.42000000004</v>
      </c>
      <c r="Q219" s="5">
        <v>101032.52</v>
      </c>
      <c r="S219" s="5">
        <v>33987.33</v>
      </c>
      <c r="T219" s="5">
        <v>5014</v>
      </c>
      <c r="U219" s="5">
        <v>94.3</v>
      </c>
      <c r="V219" s="5">
        <f t="shared" si="15"/>
        <v>0</v>
      </c>
    </row>
    <row r="220" spans="1:22">
      <c r="A220" s="5" t="s">
        <v>76</v>
      </c>
      <c r="B220" s="6">
        <v>45717</v>
      </c>
      <c r="C220" s="5" t="s">
        <v>20</v>
      </c>
      <c r="D220" s="5">
        <f t="shared" si="12"/>
        <v>1</v>
      </c>
      <c r="E220" s="5">
        <f t="shared" si="13"/>
        <v>0</v>
      </c>
      <c r="F220" s="5">
        <f t="shared" si="14"/>
        <v>0</v>
      </c>
      <c r="G220" s="5" t="s">
        <v>21</v>
      </c>
      <c r="H220" s="5">
        <v>58785.33</v>
      </c>
      <c r="I220" s="5">
        <v>4467</v>
      </c>
      <c r="J220" s="5">
        <v>0.22900000000000001</v>
      </c>
      <c r="K220" s="5">
        <v>14</v>
      </c>
      <c r="L220" s="5">
        <v>90.7</v>
      </c>
      <c r="M220" s="5">
        <v>1.92</v>
      </c>
      <c r="N220" s="5">
        <v>0</v>
      </c>
      <c r="O220" s="5">
        <v>3.7</v>
      </c>
      <c r="P220" s="5">
        <v>673348.56</v>
      </c>
      <c r="Q220" s="5">
        <v>69464.59</v>
      </c>
      <c r="S220" s="5">
        <v>58785.33</v>
      </c>
      <c r="T220" s="5">
        <v>4467</v>
      </c>
      <c r="U220" s="5">
        <v>90.7</v>
      </c>
      <c r="V220" s="5">
        <f t="shared" si="15"/>
        <v>0</v>
      </c>
    </row>
    <row r="221" spans="1:22">
      <c r="A221" s="5" t="s">
        <v>76</v>
      </c>
      <c r="B221" s="6">
        <v>45748</v>
      </c>
      <c r="C221" s="5" t="s">
        <v>20</v>
      </c>
      <c r="D221" s="5">
        <f t="shared" si="12"/>
        <v>1</v>
      </c>
      <c r="E221" s="5">
        <f t="shared" si="13"/>
        <v>0</v>
      </c>
      <c r="F221" s="5">
        <f t="shared" si="14"/>
        <v>0</v>
      </c>
      <c r="G221" s="5" t="s">
        <v>21</v>
      </c>
      <c r="H221" s="5">
        <v>16451.849999999999</v>
      </c>
      <c r="I221" s="5">
        <v>4678</v>
      </c>
      <c r="J221" s="5">
        <v>0.13300000000000001</v>
      </c>
      <c r="K221" s="5">
        <v>11</v>
      </c>
      <c r="L221" s="5">
        <v>95.9</v>
      </c>
      <c r="M221" s="5">
        <v>3.1</v>
      </c>
      <c r="N221" s="5">
        <v>0</v>
      </c>
      <c r="O221" s="5">
        <v>3.9</v>
      </c>
      <c r="P221" s="5">
        <v>606278.30000000005</v>
      </c>
      <c r="Q221" s="5">
        <v>102213.26</v>
      </c>
      <c r="S221" s="5">
        <v>16451.849999999999</v>
      </c>
      <c r="T221" s="5">
        <v>4678</v>
      </c>
      <c r="U221" s="5">
        <v>95.9</v>
      </c>
      <c r="V221" s="5">
        <f t="shared" si="15"/>
        <v>0</v>
      </c>
    </row>
    <row r="222" spans="1:22">
      <c r="A222" s="5" t="s">
        <v>77</v>
      </c>
      <c r="B222" s="6">
        <v>45658</v>
      </c>
      <c r="C222" s="5" t="s">
        <v>15</v>
      </c>
      <c r="D222" s="5">
        <f t="shared" si="12"/>
        <v>0</v>
      </c>
      <c r="E222" s="5">
        <f t="shared" si="13"/>
        <v>0</v>
      </c>
      <c r="F222" s="5">
        <f t="shared" si="14"/>
        <v>1</v>
      </c>
      <c r="G222" s="5" t="s">
        <v>18</v>
      </c>
      <c r="H222" s="5">
        <v>53367.73</v>
      </c>
      <c r="I222" s="5">
        <v>7291</v>
      </c>
      <c r="J222" s="5">
        <v>0.14599999999999999</v>
      </c>
      <c r="K222" s="5">
        <v>18</v>
      </c>
      <c r="L222" s="5">
        <v>90.6</v>
      </c>
      <c r="M222" s="5">
        <v>6.34</v>
      </c>
      <c r="N222" s="5">
        <v>1</v>
      </c>
      <c r="O222" s="5">
        <v>3.8</v>
      </c>
      <c r="P222" s="5">
        <v>712219.81</v>
      </c>
      <c r="Q222" s="5">
        <v>85906.54</v>
      </c>
      <c r="S222" s="5">
        <v>53367.73</v>
      </c>
      <c r="T222" s="5">
        <v>7291</v>
      </c>
      <c r="U222" s="5">
        <v>90.6</v>
      </c>
      <c r="V222" s="5">
        <f t="shared" si="15"/>
        <v>0</v>
      </c>
    </row>
    <row r="223" spans="1:22">
      <c r="A223" s="5" t="s">
        <v>77</v>
      </c>
      <c r="B223" s="6">
        <v>45689</v>
      </c>
      <c r="C223" s="5" t="s">
        <v>15</v>
      </c>
      <c r="D223" s="5">
        <f t="shared" si="12"/>
        <v>0</v>
      </c>
      <c r="E223" s="5">
        <f t="shared" si="13"/>
        <v>0</v>
      </c>
      <c r="F223" s="5">
        <f t="shared" si="14"/>
        <v>1</v>
      </c>
      <c r="G223" s="5" t="s">
        <v>18</v>
      </c>
      <c r="H223" s="5">
        <v>27194.639999999999</v>
      </c>
      <c r="I223" s="5">
        <v>7404</v>
      </c>
      <c r="J223" s="5">
        <v>8.7999999999999995E-2</v>
      </c>
      <c r="K223" s="5">
        <v>18</v>
      </c>
      <c r="L223" s="5">
        <v>90.2</v>
      </c>
      <c r="M223" s="5">
        <v>1.2</v>
      </c>
      <c r="N223" s="5">
        <v>0</v>
      </c>
      <c r="O223" s="5">
        <v>3.4</v>
      </c>
      <c r="P223" s="5">
        <v>672670.54</v>
      </c>
      <c r="Q223" s="5">
        <v>132684.18</v>
      </c>
      <c r="S223" s="5">
        <v>27194.639999999999</v>
      </c>
      <c r="T223" s="5">
        <v>7404</v>
      </c>
      <c r="U223" s="5">
        <v>90.2</v>
      </c>
      <c r="V223" s="5">
        <f t="shared" si="15"/>
        <v>0</v>
      </c>
    </row>
    <row r="224" spans="1:22">
      <c r="A224" s="5" t="s">
        <v>77</v>
      </c>
      <c r="B224" s="6">
        <v>45717</v>
      </c>
      <c r="C224" s="5" t="s">
        <v>15</v>
      </c>
      <c r="D224" s="5">
        <f t="shared" si="12"/>
        <v>0</v>
      </c>
      <c r="E224" s="5">
        <f t="shared" si="13"/>
        <v>0</v>
      </c>
      <c r="F224" s="5">
        <f t="shared" si="14"/>
        <v>1</v>
      </c>
      <c r="G224" s="5" t="s">
        <v>18</v>
      </c>
      <c r="H224" s="5">
        <v>66962.740000000005</v>
      </c>
      <c r="I224" s="5">
        <v>7880</v>
      </c>
      <c r="J224" s="5">
        <v>0.11600000000000001</v>
      </c>
      <c r="K224" s="5">
        <v>19</v>
      </c>
      <c r="L224" s="5">
        <v>90.4</v>
      </c>
      <c r="M224" s="5">
        <v>4.5</v>
      </c>
      <c r="N224" s="5">
        <v>0</v>
      </c>
      <c r="O224" s="5">
        <v>3.3</v>
      </c>
      <c r="P224" s="5">
        <v>732667.92</v>
      </c>
      <c r="Q224" s="5">
        <v>128654.46</v>
      </c>
      <c r="S224" s="5">
        <v>66962.740000000005</v>
      </c>
      <c r="T224" s="5">
        <v>7880</v>
      </c>
      <c r="U224" s="5">
        <v>90.4</v>
      </c>
      <c r="V224" s="5">
        <f t="shared" si="15"/>
        <v>0</v>
      </c>
    </row>
    <row r="225" spans="1:22">
      <c r="A225" s="5" t="s">
        <v>77</v>
      </c>
      <c r="B225" s="6">
        <v>45748</v>
      </c>
      <c r="C225" s="5" t="s">
        <v>15</v>
      </c>
      <c r="D225" s="5">
        <f t="shared" si="12"/>
        <v>0</v>
      </c>
      <c r="E225" s="5">
        <f t="shared" si="13"/>
        <v>0</v>
      </c>
      <c r="F225" s="5">
        <f t="shared" si="14"/>
        <v>1</v>
      </c>
      <c r="G225" s="5" t="s">
        <v>18</v>
      </c>
      <c r="H225" s="5">
        <v>73540.990000000005</v>
      </c>
      <c r="I225" s="5">
        <v>8773</v>
      </c>
      <c r="J225" s="5">
        <v>3.5000000000000003E-2</v>
      </c>
      <c r="K225" s="5">
        <v>21</v>
      </c>
      <c r="L225" s="5">
        <v>84.4</v>
      </c>
      <c r="M225" s="5">
        <v>6.68</v>
      </c>
      <c r="N225" s="5">
        <v>0</v>
      </c>
      <c r="O225" s="5">
        <v>3.6</v>
      </c>
      <c r="P225" s="5">
        <v>723531.4</v>
      </c>
      <c r="Q225" s="5">
        <v>108794.85</v>
      </c>
      <c r="S225" s="5">
        <v>73540.990000000005</v>
      </c>
      <c r="T225" s="5">
        <v>8773</v>
      </c>
      <c r="U225" s="5">
        <v>84.4</v>
      </c>
      <c r="V225" s="5">
        <f t="shared" si="15"/>
        <v>0</v>
      </c>
    </row>
    <row r="226" spans="1:22">
      <c r="A226" s="5" t="s">
        <v>78</v>
      </c>
      <c r="B226" s="6">
        <v>45658</v>
      </c>
      <c r="C226" s="5" t="s">
        <v>15</v>
      </c>
      <c r="D226" s="5">
        <f t="shared" si="12"/>
        <v>0</v>
      </c>
      <c r="E226" s="5">
        <f t="shared" si="13"/>
        <v>0</v>
      </c>
      <c r="F226" s="5">
        <f t="shared" si="14"/>
        <v>1</v>
      </c>
      <c r="G226" s="5" t="s">
        <v>28</v>
      </c>
      <c r="H226" s="5">
        <v>68212.289999999994</v>
      </c>
      <c r="I226" s="5">
        <v>4713</v>
      </c>
      <c r="J226" s="5">
        <v>0.19800000000000001</v>
      </c>
      <c r="K226" s="5">
        <v>15</v>
      </c>
      <c r="L226" s="5">
        <v>82.6</v>
      </c>
      <c r="M226" s="5">
        <v>4.07</v>
      </c>
      <c r="N226" s="5">
        <v>1</v>
      </c>
      <c r="O226" s="5">
        <v>3</v>
      </c>
      <c r="P226" s="5">
        <v>641564.6</v>
      </c>
      <c r="Q226" s="5">
        <v>90468.96</v>
      </c>
      <c r="S226" s="5">
        <v>68212.289999999994</v>
      </c>
      <c r="T226" s="5">
        <v>4713</v>
      </c>
      <c r="U226" s="5">
        <v>82.6</v>
      </c>
      <c r="V226" s="5">
        <f t="shared" si="15"/>
        <v>0</v>
      </c>
    </row>
    <row r="227" spans="1:22">
      <c r="A227" s="5" t="s">
        <v>78</v>
      </c>
      <c r="B227" s="6">
        <v>45689</v>
      </c>
      <c r="C227" s="5" t="s">
        <v>15</v>
      </c>
      <c r="D227" s="5">
        <f t="shared" si="12"/>
        <v>0</v>
      </c>
      <c r="E227" s="5">
        <f t="shared" si="13"/>
        <v>0</v>
      </c>
      <c r="F227" s="5">
        <f t="shared" si="14"/>
        <v>1</v>
      </c>
      <c r="G227" s="5" t="s">
        <v>28</v>
      </c>
      <c r="H227" s="5">
        <v>57225.98</v>
      </c>
      <c r="I227" s="5">
        <v>2842</v>
      </c>
      <c r="J227" s="5">
        <v>0.112</v>
      </c>
      <c r="K227" s="5">
        <v>10</v>
      </c>
      <c r="L227" s="5">
        <v>79.5</v>
      </c>
      <c r="M227" s="5">
        <v>5.45</v>
      </c>
      <c r="N227" s="5">
        <v>0</v>
      </c>
      <c r="O227" s="5">
        <v>3.4</v>
      </c>
      <c r="P227" s="5">
        <v>536545.49</v>
      </c>
      <c r="Q227" s="5">
        <v>97917.45</v>
      </c>
      <c r="S227" s="5">
        <v>57225.98</v>
      </c>
      <c r="T227" s="5">
        <v>2842</v>
      </c>
      <c r="U227" s="5">
        <v>79.5</v>
      </c>
      <c r="V227" s="5">
        <f t="shared" si="15"/>
        <v>0</v>
      </c>
    </row>
    <row r="228" spans="1:22">
      <c r="A228" s="5" t="s">
        <v>78</v>
      </c>
      <c r="B228" s="6">
        <v>45717</v>
      </c>
      <c r="C228" s="5" t="s">
        <v>15</v>
      </c>
      <c r="D228" s="5">
        <f t="shared" si="12"/>
        <v>0</v>
      </c>
      <c r="E228" s="5">
        <f t="shared" si="13"/>
        <v>0</v>
      </c>
      <c r="F228" s="5">
        <f t="shared" si="14"/>
        <v>1</v>
      </c>
      <c r="G228" s="5" t="s">
        <v>28</v>
      </c>
      <c r="H228" s="5">
        <v>42932.02</v>
      </c>
      <c r="I228" s="5">
        <v>3872</v>
      </c>
      <c r="J228" s="5">
        <v>0.17100000000000001</v>
      </c>
      <c r="K228" s="5">
        <v>12</v>
      </c>
      <c r="L228" s="5">
        <v>83.2</v>
      </c>
      <c r="M228" s="5">
        <v>15.58</v>
      </c>
      <c r="N228" s="5">
        <v>0</v>
      </c>
      <c r="O228" s="5">
        <v>3.3</v>
      </c>
      <c r="P228" s="5">
        <v>527681.56000000006</v>
      </c>
      <c r="Q228" s="5">
        <v>63153.05</v>
      </c>
      <c r="S228" s="5">
        <v>42932.02</v>
      </c>
      <c r="T228" s="5">
        <v>3872</v>
      </c>
      <c r="U228" s="5">
        <v>83.2</v>
      </c>
      <c r="V228" s="5">
        <f t="shared" si="15"/>
        <v>0</v>
      </c>
    </row>
    <row r="229" spans="1:22">
      <c r="A229" s="5" t="s">
        <v>78</v>
      </c>
      <c r="B229" s="6">
        <v>45748</v>
      </c>
      <c r="C229" s="5" t="s">
        <v>15</v>
      </c>
      <c r="D229" s="5">
        <f t="shared" si="12"/>
        <v>0</v>
      </c>
      <c r="E229" s="5">
        <f t="shared" si="13"/>
        <v>0</v>
      </c>
      <c r="F229" s="5">
        <f t="shared" si="14"/>
        <v>1</v>
      </c>
      <c r="G229" s="5" t="s">
        <v>28</v>
      </c>
      <c r="H229" s="5">
        <v>39341.449999999997</v>
      </c>
      <c r="I229" s="5">
        <v>1375</v>
      </c>
      <c r="J229" s="5">
        <v>9.2999999999999999E-2</v>
      </c>
      <c r="K229" s="5">
        <v>5</v>
      </c>
      <c r="L229" s="5">
        <v>95</v>
      </c>
      <c r="M229" s="5">
        <v>5.32</v>
      </c>
      <c r="N229" s="5">
        <v>0</v>
      </c>
      <c r="O229" s="5"/>
      <c r="P229" s="5">
        <v>529598.93999999994</v>
      </c>
      <c r="Q229" s="5">
        <v>84334.33</v>
      </c>
      <c r="S229" s="5">
        <v>39341.449999999997</v>
      </c>
      <c r="T229" s="5">
        <v>1375</v>
      </c>
      <c r="U229" s="5">
        <v>95</v>
      </c>
      <c r="V229" s="5">
        <f t="shared" si="15"/>
        <v>0</v>
      </c>
    </row>
    <row r="230" spans="1:22">
      <c r="A230" s="5" t="s">
        <v>79</v>
      </c>
      <c r="B230" s="6">
        <v>45658</v>
      </c>
      <c r="C230" s="5" t="s">
        <v>15</v>
      </c>
      <c r="D230" s="5">
        <f t="shared" si="12"/>
        <v>0</v>
      </c>
      <c r="E230" s="5">
        <f t="shared" si="13"/>
        <v>0</v>
      </c>
      <c r="F230" s="5">
        <f t="shared" si="14"/>
        <v>1</v>
      </c>
      <c r="G230" s="5" t="s">
        <v>18</v>
      </c>
      <c r="H230" s="5">
        <v>37324.230000000003</v>
      </c>
      <c r="I230" s="5">
        <v>5957</v>
      </c>
      <c r="J230" s="5">
        <v>7.0999999999999994E-2</v>
      </c>
      <c r="K230" s="5">
        <v>12</v>
      </c>
      <c r="L230" s="5">
        <v>85.9</v>
      </c>
      <c r="M230" s="5">
        <v>0.37</v>
      </c>
      <c r="N230" s="5">
        <v>0</v>
      </c>
      <c r="O230" s="5">
        <v>3.8</v>
      </c>
      <c r="P230" s="5">
        <v>570963.31000000006</v>
      </c>
      <c r="Q230" s="5">
        <v>87342.25</v>
      </c>
      <c r="S230" s="5">
        <v>37324.230000000003</v>
      </c>
      <c r="T230" s="5">
        <v>5957</v>
      </c>
      <c r="U230" s="5">
        <v>85.9</v>
      </c>
      <c r="V230" s="5">
        <f t="shared" si="15"/>
        <v>0</v>
      </c>
    </row>
    <row r="231" spans="1:22">
      <c r="A231" s="5" t="s">
        <v>79</v>
      </c>
      <c r="B231" s="6">
        <v>45689</v>
      </c>
      <c r="C231" s="5" t="s">
        <v>15</v>
      </c>
      <c r="D231" s="5">
        <f t="shared" si="12"/>
        <v>0</v>
      </c>
      <c r="E231" s="5">
        <f t="shared" si="13"/>
        <v>0</v>
      </c>
      <c r="F231" s="5">
        <f t="shared" si="14"/>
        <v>1</v>
      </c>
      <c r="G231" s="5" t="s">
        <v>18</v>
      </c>
      <c r="H231" s="5">
        <v>113736</v>
      </c>
      <c r="I231" s="5">
        <v>8961</v>
      </c>
      <c r="J231" s="5">
        <v>0.20200000000000001</v>
      </c>
      <c r="K231" s="5">
        <v>24</v>
      </c>
      <c r="L231" s="5">
        <v>86.2</v>
      </c>
      <c r="M231" s="5">
        <v>21.63</v>
      </c>
      <c r="N231" s="5">
        <v>0</v>
      </c>
      <c r="O231" s="5">
        <v>4</v>
      </c>
      <c r="P231" s="5">
        <v>870937.4</v>
      </c>
      <c r="Q231" s="5">
        <v>175282.74</v>
      </c>
      <c r="S231" s="5">
        <v>113736</v>
      </c>
      <c r="T231" s="5">
        <v>8961</v>
      </c>
      <c r="U231" s="5">
        <v>86.2</v>
      </c>
      <c r="V231" s="5">
        <f t="shared" si="15"/>
        <v>0</v>
      </c>
    </row>
    <row r="232" spans="1:22">
      <c r="A232" s="5" t="s">
        <v>79</v>
      </c>
      <c r="B232" s="6">
        <v>45717</v>
      </c>
      <c r="C232" s="5" t="s">
        <v>15</v>
      </c>
      <c r="D232" s="5">
        <f t="shared" si="12"/>
        <v>0</v>
      </c>
      <c r="E232" s="5">
        <f t="shared" si="13"/>
        <v>0</v>
      </c>
      <c r="F232" s="5">
        <f t="shared" si="14"/>
        <v>1</v>
      </c>
      <c r="G232" s="5" t="s">
        <v>18</v>
      </c>
      <c r="H232" s="5">
        <v>33173.949999999997</v>
      </c>
      <c r="I232" s="5">
        <v>6545</v>
      </c>
      <c r="J232" s="5">
        <v>0.16900000000000001</v>
      </c>
      <c r="K232" s="5">
        <v>15</v>
      </c>
      <c r="L232" s="5">
        <v>84.4</v>
      </c>
      <c r="M232" s="5">
        <v>2.48</v>
      </c>
      <c r="N232" s="5">
        <v>0</v>
      </c>
      <c r="O232" s="5">
        <v>3.9</v>
      </c>
      <c r="P232" s="5">
        <v>596969.27</v>
      </c>
      <c r="Q232" s="5">
        <v>105669.51</v>
      </c>
      <c r="S232" s="5">
        <v>33173.949999999997</v>
      </c>
      <c r="T232" s="5">
        <v>6545</v>
      </c>
      <c r="U232" s="5">
        <v>84.4</v>
      </c>
      <c r="V232" s="5">
        <f t="shared" si="15"/>
        <v>0</v>
      </c>
    </row>
    <row r="233" spans="1:22">
      <c r="A233" s="5" t="s">
        <v>79</v>
      </c>
      <c r="B233" s="6">
        <v>45748</v>
      </c>
      <c r="C233" s="5" t="s">
        <v>15</v>
      </c>
      <c r="D233" s="5">
        <f t="shared" si="12"/>
        <v>0</v>
      </c>
      <c r="E233" s="5">
        <f t="shared" si="13"/>
        <v>0</v>
      </c>
      <c r="F233" s="5">
        <f t="shared" si="14"/>
        <v>1</v>
      </c>
      <c r="G233" s="5" t="s">
        <v>18</v>
      </c>
      <c r="H233" s="5">
        <v>25818.080000000002</v>
      </c>
      <c r="I233" s="5">
        <v>5457</v>
      </c>
      <c r="J233" s="5">
        <v>0</v>
      </c>
      <c r="K233" s="5">
        <v>11</v>
      </c>
      <c r="L233" s="5">
        <v>95.4</v>
      </c>
      <c r="M233" s="5"/>
      <c r="N233" s="5">
        <v>0</v>
      </c>
      <c r="O233" s="5">
        <v>3.7</v>
      </c>
      <c r="P233" s="5">
        <v>647512.85</v>
      </c>
      <c r="Q233" s="5">
        <v>153835.57</v>
      </c>
      <c r="S233" s="5">
        <v>25818.080000000002</v>
      </c>
      <c r="T233" s="5">
        <v>5457</v>
      </c>
      <c r="U233" s="5">
        <v>95.4</v>
      </c>
      <c r="V233" s="5">
        <f t="shared" si="15"/>
        <v>0</v>
      </c>
    </row>
    <row r="234" spans="1:22">
      <c r="A234" s="5" t="s">
        <v>80</v>
      </c>
      <c r="B234" s="6">
        <v>45658</v>
      </c>
      <c r="C234" s="5" t="s">
        <v>27</v>
      </c>
      <c r="D234" s="5">
        <f t="shared" si="12"/>
        <v>0</v>
      </c>
      <c r="E234" s="5">
        <f t="shared" si="13"/>
        <v>0</v>
      </c>
      <c r="F234" s="5">
        <f t="shared" si="14"/>
        <v>0</v>
      </c>
      <c r="G234" s="5" t="s">
        <v>16</v>
      </c>
      <c r="H234" s="5">
        <v>47241.919999999998</v>
      </c>
      <c r="I234" s="5">
        <v>4264</v>
      </c>
      <c r="J234" s="5">
        <v>6.9000000000000006E-2</v>
      </c>
      <c r="K234" s="5">
        <v>13</v>
      </c>
      <c r="L234" s="5">
        <v>95.3</v>
      </c>
      <c r="M234" s="5">
        <v>0.85</v>
      </c>
      <c r="N234" s="5">
        <v>0</v>
      </c>
      <c r="O234" s="5">
        <v>4.3</v>
      </c>
      <c r="P234" s="5">
        <v>658072.14</v>
      </c>
      <c r="Q234" s="5">
        <v>110595.89</v>
      </c>
      <c r="S234" s="5">
        <v>47241.919999999998</v>
      </c>
      <c r="T234" s="5">
        <v>4264</v>
      </c>
      <c r="U234" s="5">
        <v>95.3</v>
      </c>
      <c r="V234" s="5">
        <f t="shared" si="15"/>
        <v>0</v>
      </c>
    </row>
    <row r="235" spans="1:22">
      <c r="A235" s="5" t="s">
        <v>80</v>
      </c>
      <c r="B235" s="6">
        <v>45689</v>
      </c>
      <c r="C235" s="5" t="s">
        <v>27</v>
      </c>
      <c r="D235" s="5">
        <f t="shared" si="12"/>
        <v>0</v>
      </c>
      <c r="E235" s="5">
        <f t="shared" si="13"/>
        <v>0</v>
      </c>
      <c r="F235" s="5">
        <f t="shared" si="14"/>
        <v>0</v>
      </c>
      <c r="G235" s="5" t="s">
        <v>16</v>
      </c>
      <c r="H235" s="5">
        <v>61650.79</v>
      </c>
      <c r="I235" s="5">
        <v>5321</v>
      </c>
      <c r="J235" s="5">
        <v>0.126</v>
      </c>
      <c r="K235" s="5">
        <v>17</v>
      </c>
      <c r="L235" s="5">
        <v>89.2</v>
      </c>
      <c r="M235" s="5">
        <v>2.13</v>
      </c>
      <c r="N235" s="5">
        <v>0</v>
      </c>
      <c r="O235" s="5">
        <v>4</v>
      </c>
      <c r="P235" s="5">
        <v>723305.11</v>
      </c>
      <c r="Q235" s="5">
        <v>128468.7</v>
      </c>
      <c r="S235" s="5">
        <v>61650.79</v>
      </c>
      <c r="T235" s="5">
        <v>5321</v>
      </c>
      <c r="U235" s="5">
        <v>89.2</v>
      </c>
      <c r="V235" s="5">
        <f t="shared" si="15"/>
        <v>0</v>
      </c>
    </row>
    <row r="236" spans="1:22">
      <c r="A236" s="5" t="s">
        <v>80</v>
      </c>
      <c r="B236" s="6">
        <v>45717</v>
      </c>
      <c r="C236" s="5" t="s">
        <v>27</v>
      </c>
      <c r="D236" s="5">
        <f t="shared" si="12"/>
        <v>0</v>
      </c>
      <c r="E236" s="5">
        <f t="shared" si="13"/>
        <v>0</v>
      </c>
      <c r="F236" s="5">
        <f t="shared" si="14"/>
        <v>0</v>
      </c>
      <c r="G236" s="5" t="s">
        <v>16</v>
      </c>
      <c r="H236" s="5">
        <v>62582.71</v>
      </c>
      <c r="I236" s="5">
        <v>5479</v>
      </c>
      <c r="J236" s="5">
        <v>4.8000000000000001E-2</v>
      </c>
      <c r="K236" s="5">
        <v>16</v>
      </c>
      <c r="L236" s="5">
        <v>81.2</v>
      </c>
      <c r="M236" s="5">
        <v>1.46</v>
      </c>
      <c r="N236" s="5">
        <v>0</v>
      </c>
      <c r="O236" s="5">
        <v>4.5</v>
      </c>
      <c r="P236" s="5">
        <v>640666.53</v>
      </c>
      <c r="Q236" s="5">
        <v>134919.16</v>
      </c>
      <c r="S236" s="5">
        <v>62582.71</v>
      </c>
      <c r="T236" s="5">
        <v>5479</v>
      </c>
      <c r="U236" s="5">
        <v>81.2</v>
      </c>
      <c r="V236" s="5">
        <f t="shared" si="15"/>
        <v>0</v>
      </c>
    </row>
    <row r="237" spans="1:22">
      <c r="A237" s="5" t="s">
        <v>80</v>
      </c>
      <c r="B237" s="6">
        <v>45748</v>
      </c>
      <c r="C237" s="5" t="s">
        <v>27</v>
      </c>
      <c r="D237" s="5">
        <f t="shared" si="12"/>
        <v>0</v>
      </c>
      <c r="E237" s="5">
        <f t="shared" si="13"/>
        <v>0</v>
      </c>
      <c r="F237" s="5">
        <f t="shared" si="14"/>
        <v>0</v>
      </c>
      <c r="G237" s="5" t="s">
        <v>16</v>
      </c>
      <c r="H237" s="5">
        <v>47944.14</v>
      </c>
      <c r="I237" s="5">
        <v>6169</v>
      </c>
      <c r="J237" s="5">
        <v>0.11899999999999999</v>
      </c>
      <c r="K237" s="5">
        <v>17</v>
      </c>
      <c r="L237" s="5">
        <v>92.2</v>
      </c>
      <c r="M237" s="5">
        <v>3.02</v>
      </c>
      <c r="N237" s="5">
        <v>0</v>
      </c>
      <c r="O237" s="5">
        <v>4.0999999999999996</v>
      </c>
      <c r="P237" s="5">
        <v>670629.48</v>
      </c>
      <c r="Q237" s="5">
        <v>100140.8</v>
      </c>
      <c r="S237" s="5">
        <v>47944.14</v>
      </c>
      <c r="T237" s="5">
        <v>6169</v>
      </c>
      <c r="U237" s="5">
        <v>92.2</v>
      </c>
      <c r="V237" s="5">
        <f t="shared" si="15"/>
        <v>0</v>
      </c>
    </row>
    <row r="238" spans="1:22">
      <c r="A238" s="5" t="s">
        <v>81</v>
      </c>
      <c r="B238" s="6">
        <v>45658</v>
      </c>
      <c r="C238" s="5" t="s">
        <v>27</v>
      </c>
      <c r="D238" s="5">
        <f t="shared" si="12"/>
        <v>0</v>
      </c>
      <c r="E238" s="5">
        <f t="shared" si="13"/>
        <v>0</v>
      </c>
      <c r="F238" s="5">
        <f t="shared" si="14"/>
        <v>0</v>
      </c>
      <c r="G238" s="5" t="s">
        <v>28</v>
      </c>
      <c r="H238" s="5">
        <v>46495.4</v>
      </c>
      <c r="I238" s="5">
        <v>9908</v>
      </c>
      <c r="J238" s="5">
        <v>0.121</v>
      </c>
      <c r="K238" s="5">
        <v>22</v>
      </c>
      <c r="L238" s="5">
        <v>89.4</v>
      </c>
      <c r="M238" s="5">
        <v>3.22</v>
      </c>
      <c r="N238" s="5">
        <v>0</v>
      </c>
      <c r="O238" s="5">
        <v>3.7</v>
      </c>
      <c r="P238" s="5">
        <v>721079.35</v>
      </c>
      <c r="Q238" s="5">
        <v>115295.05</v>
      </c>
      <c r="S238" s="5">
        <v>46495.4</v>
      </c>
      <c r="T238" s="5">
        <v>9908</v>
      </c>
      <c r="U238" s="5">
        <v>89.4</v>
      </c>
      <c r="V238" s="5">
        <f t="shared" si="15"/>
        <v>0</v>
      </c>
    </row>
    <row r="239" spans="1:22">
      <c r="A239" s="5" t="s">
        <v>81</v>
      </c>
      <c r="B239" s="6">
        <v>45689</v>
      </c>
      <c r="C239" s="5" t="s">
        <v>27</v>
      </c>
      <c r="D239" s="5">
        <f t="shared" si="12"/>
        <v>0</v>
      </c>
      <c r="E239" s="5">
        <f t="shared" si="13"/>
        <v>0</v>
      </c>
      <c r="F239" s="5">
        <f t="shared" si="14"/>
        <v>0</v>
      </c>
      <c r="G239" s="5" t="s">
        <v>28</v>
      </c>
      <c r="H239" s="5">
        <v>72961.95</v>
      </c>
      <c r="I239" s="5">
        <v>9996</v>
      </c>
      <c r="J239" s="5">
        <v>0.106</v>
      </c>
      <c r="K239" s="5">
        <v>22</v>
      </c>
      <c r="L239" s="5">
        <v>89.1</v>
      </c>
      <c r="M239" s="5">
        <v>15.66</v>
      </c>
      <c r="N239" s="5">
        <v>0</v>
      </c>
      <c r="O239" s="5">
        <v>3.4</v>
      </c>
      <c r="P239" s="5">
        <v>810355.02</v>
      </c>
      <c r="Q239" s="5">
        <v>131510</v>
      </c>
      <c r="S239" s="5">
        <v>72961.95</v>
      </c>
      <c r="T239" s="5">
        <v>9996</v>
      </c>
      <c r="U239" s="5">
        <v>89.1</v>
      </c>
      <c r="V239" s="5">
        <f t="shared" si="15"/>
        <v>0</v>
      </c>
    </row>
    <row r="240" spans="1:22">
      <c r="A240" s="5" t="s">
        <v>81</v>
      </c>
      <c r="B240" s="6">
        <v>45717</v>
      </c>
      <c r="C240" s="5" t="s">
        <v>27</v>
      </c>
      <c r="D240" s="5">
        <f t="shared" si="12"/>
        <v>0</v>
      </c>
      <c r="E240" s="5">
        <f t="shared" si="13"/>
        <v>0</v>
      </c>
      <c r="F240" s="5">
        <f t="shared" si="14"/>
        <v>0</v>
      </c>
      <c r="G240" s="5" t="s">
        <v>28</v>
      </c>
      <c r="H240" s="5">
        <v>59060.05</v>
      </c>
      <c r="I240" s="5">
        <v>9702</v>
      </c>
      <c r="J240" s="5">
        <v>0.20100000000000001</v>
      </c>
      <c r="K240" s="5">
        <v>23</v>
      </c>
      <c r="L240" s="5">
        <v>80.900000000000006</v>
      </c>
      <c r="M240" s="5">
        <v>6.96</v>
      </c>
      <c r="N240" s="5">
        <v>0</v>
      </c>
      <c r="O240" s="5">
        <v>3.2</v>
      </c>
      <c r="P240" s="5">
        <v>761919.25</v>
      </c>
      <c r="Q240" s="5">
        <v>111893.06</v>
      </c>
      <c r="S240" s="5">
        <v>59060.05</v>
      </c>
      <c r="T240" s="5">
        <v>9702</v>
      </c>
      <c r="U240" s="5">
        <v>80.900000000000006</v>
      </c>
      <c r="V240" s="5">
        <f t="shared" si="15"/>
        <v>0</v>
      </c>
    </row>
    <row r="241" spans="1:22">
      <c r="A241" s="5" t="s">
        <v>81</v>
      </c>
      <c r="B241" s="6">
        <v>45748</v>
      </c>
      <c r="C241" s="5" t="s">
        <v>27</v>
      </c>
      <c r="D241" s="5">
        <f t="shared" si="12"/>
        <v>0</v>
      </c>
      <c r="E241" s="5">
        <f t="shared" si="13"/>
        <v>0</v>
      </c>
      <c r="F241" s="5">
        <f t="shared" si="14"/>
        <v>0</v>
      </c>
      <c r="G241" s="5" t="s">
        <v>28</v>
      </c>
      <c r="H241" s="5">
        <v>26248.1</v>
      </c>
      <c r="I241" s="5">
        <v>9314</v>
      </c>
      <c r="J241" s="5">
        <v>0.186</v>
      </c>
      <c r="K241" s="5">
        <v>21</v>
      </c>
      <c r="L241" s="5">
        <v>83.7</v>
      </c>
      <c r="M241" s="5">
        <v>4.62</v>
      </c>
      <c r="N241" s="5">
        <v>0</v>
      </c>
      <c r="O241" s="5">
        <v>3.3</v>
      </c>
      <c r="P241" s="5">
        <v>737070.18</v>
      </c>
      <c r="Q241" s="5">
        <v>117593.97</v>
      </c>
      <c r="S241" s="5">
        <v>26248.1</v>
      </c>
      <c r="T241" s="5">
        <v>9314</v>
      </c>
      <c r="U241" s="5">
        <v>83.7</v>
      </c>
      <c r="V241" s="5">
        <f t="shared" si="15"/>
        <v>0</v>
      </c>
    </row>
    <row r="242" spans="1:22">
      <c r="A242" s="5" t="s">
        <v>82</v>
      </c>
      <c r="B242" s="6">
        <v>45658</v>
      </c>
      <c r="C242" s="5" t="s">
        <v>24</v>
      </c>
      <c r="D242" s="5">
        <f t="shared" si="12"/>
        <v>0</v>
      </c>
      <c r="E242" s="5">
        <f t="shared" si="13"/>
        <v>1</v>
      </c>
      <c r="F242" s="5">
        <f t="shared" si="14"/>
        <v>0</v>
      </c>
      <c r="G242" s="5" t="s">
        <v>21</v>
      </c>
      <c r="H242" s="5">
        <v>69900.12</v>
      </c>
      <c r="I242" s="5">
        <v>8055</v>
      </c>
      <c r="J242" s="5">
        <v>0.28100000000000003</v>
      </c>
      <c r="K242" s="5">
        <v>22</v>
      </c>
      <c r="L242" s="5">
        <v>85.6</v>
      </c>
      <c r="M242" s="5">
        <v>10.68</v>
      </c>
      <c r="N242" s="5">
        <v>1</v>
      </c>
      <c r="O242" s="5">
        <v>2.9</v>
      </c>
      <c r="P242" s="5">
        <v>776992.93</v>
      </c>
      <c r="Q242" s="5">
        <v>101598.32</v>
      </c>
      <c r="S242" s="5">
        <v>69900.12</v>
      </c>
      <c r="T242" s="5">
        <v>8055</v>
      </c>
      <c r="U242" s="5">
        <v>85.6</v>
      </c>
      <c r="V242" s="5">
        <f t="shared" si="15"/>
        <v>0</v>
      </c>
    </row>
    <row r="243" spans="1:22">
      <c r="A243" s="5" t="s">
        <v>82</v>
      </c>
      <c r="B243" s="6">
        <v>45689</v>
      </c>
      <c r="C243" s="5" t="s">
        <v>24</v>
      </c>
      <c r="D243" s="5">
        <f t="shared" si="12"/>
        <v>0</v>
      </c>
      <c r="E243" s="5">
        <f t="shared" si="13"/>
        <v>1</v>
      </c>
      <c r="F243" s="5">
        <f t="shared" si="14"/>
        <v>0</v>
      </c>
      <c r="G243" s="5" t="s">
        <v>21</v>
      </c>
      <c r="H243" s="5">
        <v>51781.599999999999</v>
      </c>
      <c r="I243" s="5">
        <v>5648</v>
      </c>
      <c r="J243" s="5">
        <v>5.8999999999999997E-2</v>
      </c>
      <c r="K243" s="5">
        <v>13</v>
      </c>
      <c r="L243" s="5">
        <v>85.5</v>
      </c>
      <c r="M243" s="5">
        <v>4.04</v>
      </c>
      <c r="N243" s="5">
        <v>0</v>
      </c>
      <c r="O243" s="5">
        <v>3.7</v>
      </c>
      <c r="P243" s="5">
        <v>676337.41</v>
      </c>
      <c r="Q243" s="5">
        <v>104355.77</v>
      </c>
      <c r="S243" s="5">
        <v>51781.599999999999</v>
      </c>
      <c r="T243" s="5">
        <v>5648</v>
      </c>
      <c r="U243" s="5">
        <v>85.5</v>
      </c>
      <c r="V243" s="5">
        <f t="shared" si="15"/>
        <v>0</v>
      </c>
    </row>
    <row r="244" spans="1:22">
      <c r="A244" s="5" t="s">
        <v>82</v>
      </c>
      <c r="B244" s="6">
        <v>45717</v>
      </c>
      <c r="C244" s="5" t="s">
        <v>24</v>
      </c>
      <c r="D244" s="5">
        <f t="shared" si="12"/>
        <v>0</v>
      </c>
      <c r="E244" s="5">
        <f t="shared" si="13"/>
        <v>1</v>
      </c>
      <c r="F244" s="5">
        <f t="shared" si="14"/>
        <v>0</v>
      </c>
      <c r="G244" s="5" t="s">
        <v>21</v>
      </c>
      <c r="H244" s="5">
        <v>70799.64</v>
      </c>
      <c r="I244" s="5">
        <v>10076</v>
      </c>
      <c r="J244" s="5">
        <v>0.152</v>
      </c>
      <c r="K244" s="5">
        <v>24</v>
      </c>
      <c r="L244" s="5">
        <v>84.8</v>
      </c>
      <c r="M244" s="5">
        <v>1.87</v>
      </c>
      <c r="N244" s="5">
        <v>0</v>
      </c>
      <c r="O244" s="5">
        <v>3.5</v>
      </c>
      <c r="P244" s="5">
        <v>828219.67</v>
      </c>
      <c r="Q244" s="5">
        <v>179806.87</v>
      </c>
      <c r="S244" s="5">
        <v>70799.64</v>
      </c>
      <c r="T244" s="5">
        <v>10076</v>
      </c>
      <c r="U244" s="5">
        <v>84.8</v>
      </c>
      <c r="V244" s="5">
        <f t="shared" si="15"/>
        <v>0</v>
      </c>
    </row>
    <row r="245" spans="1:22">
      <c r="A245" s="5" t="s">
        <v>82</v>
      </c>
      <c r="B245" s="6">
        <v>45748</v>
      </c>
      <c r="C245" s="5" t="s">
        <v>24</v>
      </c>
      <c r="D245" s="5">
        <f t="shared" si="12"/>
        <v>0</v>
      </c>
      <c r="E245" s="5">
        <f t="shared" si="13"/>
        <v>1</v>
      </c>
      <c r="F245" s="5">
        <f t="shared" si="14"/>
        <v>0</v>
      </c>
      <c r="G245" s="5" t="s">
        <v>21</v>
      </c>
      <c r="H245" s="5">
        <v>53546.34</v>
      </c>
      <c r="I245" s="5">
        <v>8004</v>
      </c>
      <c r="J245" s="5">
        <v>0</v>
      </c>
      <c r="K245" s="5">
        <v>21</v>
      </c>
      <c r="L245" s="5">
        <v>95.2</v>
      </c>
      <c r="M245" s="5">
        <v>2.83</v>
      </c>
      <c r="N245" s="5">
        <v>0</v>
      </c>
      <c r="O245" s="5">
        <v>3</v>
      </c>
      <c r="P245" s="5">
        <v>763159.92</v>
      </c>
      <c r="Q245" s="5">
        <v>177104.87</v>
      </c>
      <c r="S245" s="5">
        <v>53546.34</v>
      </c>
      <c r="T245" s="5">
        <v>8004</v>
      </c>
      <c r="U245" s="5">
        <v>95.2</v>
      </c>
      <c r="V245" s="5">
        <f t="shared" si="15"/>
        <v>0</v>
      </c>
    </row>
    <row r="246" spans="1:22">
      <c r="A246" s="5" t="s">
        <v>83</v>
      </c>
      <c r="B246" s="6">
        <v>45658</v>
      </c>
      <c r="C246" s="5" t="s">
        <v>15</v>
      </c>
      <c r="D246" s="5">
        <f t="shared" si="12"/>
        <v>0</v>
      </c>
      <c r="E246" s="5">
        <f t="shared" si="13"/>
        <v>0</v>
      </c>
      <c r="F246" s="5">
        <f t="shared" si="14"/>
        <v>1</v>
      </c>
      <c r="G246" s="5" t="s">
        <v>18</v>
      </c>
      <c r="H246" s="5">
        <v>76942.2</v>
      </c>
      <c r="I246" s="5">
        <v>8934</v>
      </c>
      <c r="J246" s="5">
        <v>8.4000000000000005E-2</v>
      </c>
      <c r="K246" s="5">
        <v>20</v>
      </c>
      <c r="L246" s="5">
        <v>91</v>
      </c>
      <c r="M246" s="5">
        <v>0.95</v>
      </c>
      <c r="N246" s="5">
        <v>0</v>
      </c>
      <c r="O246" s="5">
        <v>3.2</v>
      </c>
      <c r="P246" s="5">
        <v>802001.68</v>
      </c>
      <c r="Q246" s="5">
        <v>159715.82</v>
      </c>
      <c r="S246" s="5">
        <v>76942.2</v>
      </c>
      <c r="T246" s="5">
        <v>8934</v>
      </c>
      <c r="U246" s="5">
        <v>91</v>
      </c>
      <c r="V246" s="5">
        <f t="shared" si="15"/>
        <v>0</v>
      </c>
    </row>
    <row r="247" spans="1:22">
      <c r="A247" s="5" t="s">
        <v>83</v>
      </c>
      <c r="B247" s="6">
        <v>45689</v>
      </c>
      <c r="C247" s="5" t="s">
        <v>15</v>
      </c>
      <c r="D247" s="5">
        <f t="shared" si="12"/>
        <v>0</v>
      </c>
      <c r="E247" s="5">
        <f t="shared" si="13"/>
        <v>0</v>
      </c>
      <c r="F247" s="5">
        <f t="shared" si="14"/>
        <v>1</v>
      </c>
      <c r="G247" s="5" t="s">
        <v>18</v>
      </c>
      <c r="H247" s="5">
        <v>48060.78</v>
      </c>
      <c r="I247" s="5">
        <v>8733</v>
      </c>
      <c r="J247" s="5">
        <v>0</v>
      </c>
      <c r="K247" s="5">
        <v>20</v>
      </c>
      <c r="L247" s="5">
        <v>89.9</v>
      </c>
      <c r="M247" s="5">
        <v>0.8</v>
      </c>
      <c r="N247" s="5">
        <v>0</v>
      </c>
      <c r="O247" s="5">
        <v>3.4</v>
      </c>
      <c r="P247" s="5">
        <v>750471.34</v>
      </c>
      <c r="Q247" s="5">
        <v>133788.04</v>
      </c>
      <c r="S247" s="5">
        <v>48060.78</v>
      </c>
      <c r="T247" s="5">
        <v>8733</v>
      </c>
      <c r="U247" s="5">
        <v>89.9</v>
      </c>
      <c r="V247" s="5">
        <f t="shared" si="15"/>
        <v>0</v>
      </c>
    </row>
    <row r="248" spans="1:22">
      <c r="A248" s="5" t="s">
        <v>83</v>
      </c>
      <c r="B248" s="6">
        <v>45717</v>
      </c>
      <c r="C248" s="5" t="s">
        <v>15</v>
      </c>
      <c r="D248" s="5">
        <f t="shared" si="12"/>
        <v>0</v>
      </c>
      <c r="E248" s="5">
        <f t="shared" si="13"/>
        <v>0</v>
      </c>
      <c r="F248" s="5">
        <f t="shared" si="14"/>
        <v>1</v>
      </c>
      <c r="G248" s="5" t="s">
        <v>18</v>
      </c>
      <c r="H248" s="5">
        <v>57390.04</v>
      </c>
      <c r="I248" s="5">
        <v>7374</v>
      </c>
      <c r="J248" s="5">
        <v>0.21</v>
      </c>
      <c r="K248" s="5">
        <v>21</v>
      </c>
      <c r="L248" s="5">
        <v>91.8</v>
      </c>
      <c r="M248" s="5">
        <v>0.2</v>
      </c>
      <c r="N248" s="5">
        <v>0</v>
      </c>
      <c r="O248" s="5">
        <v>3.1</v>
      </c>
      <c r="P248" s="5">
        <v>679230.86</v>
      </c>
      <c r="Q248" s="5">
        <v>106927.58</v>
      </c>
      <c r="S248" s="5">
        <v>57390.04</v>
      </c>
      <c r="T248" s="5">
        <v>7374</v>
      </c>
      <c r="U248" s="5">
        <v>91.8</v>
      </c>
      <c r="V248" s="5">
        <f t="shared" si="15"/>
        <v>0</v>
      </c>
    </row>
    <row r="249" spans="1:22">
      <c r="A249" s="5" t="s">
        <v>83</v>
      </c>
      <c r="B249" s="6">
        <v>45748</v>
      </c>
      <c r="C249" s="5" t="s">
        <v>15</v>
      </c>
      <c r="D249" s="5">
        <f t="shared" si="12"/>
        <v>0</v>
      </c>
      <c r="E249" s="5">
        <f t="shared" si="13"/>
        <v>0</v>
      </c>
      <c r="F249" s="5">
        <f t="shared" si="14"/>
        <v>1</v>
      </c>
      <c r="G249" s="5" t="s">
        <v>18</v>
      </c>
      <c r="H249" s="5">
        <v>21536.18</v>
      </c>
      <c r="I249" s="5">
        <v>8119</v>
      </c>
      <c r="J249" s="5">
        <v>0.22700000000000001</v>
      </c>
      <c r="K249" s="5">
        <v>20</v>
      </c>
      <c r="L249" s="5">
        <v>90.4</v>
      </c>
      <c r="M249" s="5">
        <v>1.7</v>
      </c>
      <c r="N249" s="5">
        <v>0</v>
      </c>
      <c r="O249" s="5">
        <v>3.3</v>
      </c>
      <c r="P249" s="5">
        <v>679888.74</v>
      </c>
      <c r="Q249" s="5">
        <v>83406.89</v>
      </c>
      <c r="S249" s="5">
        <v>21536.18</v>
      </c>
      <c r="T249" s="5">
        <v>8119</v>
      </c>
      <c r="U249" s="5">
        <v>90.4</v>
      </c>
      <c r="V249" s="5">
        <f t="shared" si="15"/>
        <v>0</v>
      </c>
    </row>
    <row r="250" spans="1:22">
      <c r="A250" s="5" t="s">
        <v>84</v>
      </c>
      <c r="B250" s="6">
        <v>45658</v>
      </c>
      <c r="C250" s="5" t="s">
        <v>20</v>
      </c>
      <c r="D250" s="5">
        <f t="shared" si="12"/>
        <v>1</v>
      </c>
      <c r="E250" s="5">
        <f t="shared" si="13"/>
        <v>0</v>
      </c>
      <c r="F250" s="5">
        <f t="shared" si="14"/>
        <v>0</v>
      </c>
      <c r="G250" s="5" t="s">
        <v>18</v>
      </c>
      <c r="H250" s="5">
        <v>40923.67</v>
      </c>
      <c r="I250" s="5">
        <v>3875</v>
      </c>
      <c r="J250" s="5">
        <v>0.15</v>
      </c>
      <c r="K250" s="5">
        <v>10</v>
      </c>
      <c r="L250" s="5">
        <v>96.1</v>
      </c>
      <c r="M250" s="5"/>
      <c r="N250" s="5">
        <v>0</v>
      </c>
      <c r="O250" s="5">
        <v>3.8</v>
      </c>
      <c r="P250" s="5">
        <v>606783.67000000004</v>
      </c>
      <c r="Q250" s="5">
        <v>74515.87</v>
      </c>
      <c r="S250" s="5">
        <v>40923.67</v>
      </c>
      <c r="T250" s="5">
        <v>3875</v>
      </c>
      <c r="U250" s="5">
        <v>96.1</v>
      </c>
      <c r="V250" s="5">
        <f t="shared" si="15"/>
        <v>0</v>
      </c>
    </row>
    <row r="251" spans="1:22">
      <c r="A251" s="5" t="s">
        <v>84</v>
      </c>
      <c r="B251" s="6">
        <v>45689</v>
      </c>
      <c r="C251" s="5" t="s">
        <v>20</v>
      </c>
      <c r="D251" s="5">
        <f t="shared" si="12"/>
        <v>1</v>
      </c>
      <c r="E251" s="5">
        <f t="shared" si="13"/>
        <v>0</v>
      </c>
      <c r="F251" s="5">
        <f t="shared" si="14"/>
        <v>0</v>
      </c>
      <c r="G251" s="5" t="s">
        <v>18</v>
      </c>
      <c r="H251" s="5">
        <v>72932.55</v>
      </c>
      <c r="I251" s="5">
        <v>5765</v>
      </c>
      <c r="J251" s="5">
        <v>2.5999999999999999E-2</v>
      </c>
      <c r="K251" s="5">
        <v>17</v>
      </c>
      <c r="L251" s="5">
        <v>81.8</v>
      </c>
      <c r="M251" s="5">
        <v>5.0999999999999996</v>
      </c>
      <c r="N251" s="5">
        <v>0</v>
      </c>
      <c r="O251" s="5">
        <v>3.6</v>
      </c>
      <c r="P251" s="5">
        <v>642751.42000000004</v>
      </c>
      <c r="Q251" s="5">
        <v>131942.15</v>
      </c>
      <c r="S251" s="5">
        <v>72932.55</v>
      </c>
      <c r="T251" s="5">
        <v>5765</v>
      </c>
      <c r="U251" s="5">
        <v>81.8</v>
      </c>
      <c r="V251" s="5">
        <f t="shared" si="15"/>
        <v>0</v>
      </c>
    </row>
    <row r="252" spans="1:22">
      <c r="A252" s="5" t="s">
        <v>84</v>
      </c>
      <c r="B252" s="6">
        <v>45717</v>
      </c>
      <c r="C252" s="5" t="s">
        <v>20</v>
      </c>
      <c r="D252" s="5">
        <f t="shared" si="12"/>
        <v>1</v>
      </c>
      <c r="E252" s="5">
        <f t="shared" si="13"/>
        <v>0</v>
      </c>
      <c r="F252" s="5">
        <f t="shared" si="14"/>
        <v>0</v>
      </c>
      <c r="G252" s="5" t="s">
        <v>18</v>
      </c>
      <c r="H252" s="5">
        <v>38361.93</v>
      </c>
      <c r="I252" s="5">
        <v>6322</v>
      </c>
      <c r="J252" s="5">
        <v>0.27300000000000002</v>
      </c>
      <c r="K252" s="5">
        <v>15</v>
      </c>
      <c r="L252" s="5">
        <v>88.4</v>
      </c>
      <c r="M252" s="5">
        <v>0.83</v>
      </c>
      <c r="N252" s="5">
        <v>0</v>
      </c>
      <c r="O252" s="5">
        <v>4</v>
      </c>
      <c r="P252" s="5">
        <v>647953.78</v>
      </c>
      <c r="Q252" s="5">
        <v>118497.43</v>
      </c>
      <c r="S252" s="5">
        <v>38361.93</v>
      </c>
      <c r="T252" s="5">
        <v>6322</v>
      </c>
      <c r="U252" s="5">
        <v>88.4</v>
      </c>
      <c r="V252" s="5">
        <f t="shared" si="15"/>
        <v>0</v>
      </c>
    </row>
    <row r="253" spans="1:22">
      <c r="A253" s="5" t="s">
        <v>84</v>
      </c>
      <c r="B253" s="6">
        <v>45748</v>
      </c>
      <c r="C253" s="5" t="s">
        <v>20</v>
      </c>
      <c r="D253" s="5">
        <f t="shared" si="12"/>
        <v>1</v>
      </c>
      <c r="E253" s="5">
        <f t="shared" si="13"/>
        <v>0</v>
      </c>
      <c r="F253" s="5">
        <f t="shared" si="14"/>
        <v>0</v>
      </c>
      <c r="G253" s="5" t="s">
        <v>18</v>
      </c>
      <c r="H253" s="5">
        <v>97480.94</v>
      </c>
      <c r="I253" s="5">
        <v>6840</v>
      </c>
      <c r="J253" s="5">
        <v>8.6999999999999994E-2</v>
      </c>
      <c r="K253" s="5">
        <v>14</v>
      </c>
      <c r="L253" s="5">
        <v>79.2</v>
      </c>
      <c r="M253" s="5">
        <v>1.1399999999999999</v>
      </c>
      <c r="N253" s="5">
        <v>0</v>
      </c>
      <c r="O253" s="5">
        <v>4</v>
      </c>
      <c r="P253" s="5">
        <v>729440.45</v>
      </c>
      <c r="Q253" s="5">
        <v>87614.29</v>
      </c>
      <c r="S253" s="5">
        <v>97480.94</v>
      </c>
      <c r="T253" s="5">
        <v>6840</v>
      </c>
      <c r="U253" s="5">
        <v>79.2</v>
      </c>
      <c r="V253" s="5">
        <f t="shared" si="15"/>
        <v>0</v>
      </c>
    </row>
    <row r="254" spans="1:22">
      <c r="A254" s="5" t="s">
        <v>85</v>
      </c>
      <c r="B254" s="6">
        <v>45658</v>
      </c>
      <c r="C254" s="5" t="s">
        <v>24</v>
      </c>
      <c r="D254" s="5">
        <f t="shared" si="12"/>
        <v>0</v>
      </c>
      <c r="E254" s="5">
        <f t="shared" si="13"/>
        <v>1</v>
      </c>
      <c r="F254" s="5">
        <f t="shared" si="14"/>
        <v>0</v>
      </c>
      <c r="G254" s="5" t="s">
        <v>21</v>
      </c>
      <c r="H254" s="5">
        <v>81801.8</v>
      </c>
      <c r="I254" s="5">
        <v>6782</v>
      </c>
      <c r="J254" s="5">
        <v>0.05</v>
      </c>
      <c r="K254" s="5">
        <v>16</v>
      </c>
      <c r="L254" s="5">
        <v>99</v>
      </c>
      <c r="M254" s="5">
        <v>9.5399999999999991</v>
      </c>
      <c r="N254" s="5">
        <v>0</v>
      </c>
      <c r="O254" s="5">
        <v>3.7</v>
      </c>
      <c r="P254" s="5">
        <v>764949</v>
      </c>
      <c r="Q254" s="5">
        <v>148322.43</v>
      </c>
      <c r="S254" s="5">
        <v>81801.8</v>
      </c>
      <c r="T254" s="5">
        <v>6782</v>
      </c>
      <c r="U254" s="5">
        <v>99</v>
      </c>
      <c r="V254" s="5">
        <f t="shared" si="15"/>
        <v>0</v>
      </c>
    </row>
    <row r="255" spans="1:22">
      <c r="A255" s="5" t="s">
        <v>85</v>
      </c>
      <c r="B255" s="6">
        <v>45689</v>
      </c>
      <c r="C255" s="5" t="s">
        <v>24</v>
      </c>
      <c r="D255" s="5">
        <f t="shared" si="12"/>
        <v>0</v>
      </c>
      <c r="E255" s="5">
        <f t="shared" si="13"/>
        <v>1</v>
      </c>
      <c r="F255" s="5">
        <f t="shared" si="14"/>
        <v>0</v>
      </c>
      <c r="G255" s="5" t="s">
        <v>21</v>
      </c>
      <c r="H255" s="5">
        <v>63582.11</v>
      </c>
      <c r="I255" s="5">
        <v>6856</v>
      </c>
      <c r="J255" s="5">
        <v>7.3999999999999996E-2</v>
      </c>
      <c r="K255" s="5">
        <v>17</v>
      </c>
      <c r="L255" s="5">
        <v>89.5</v>
      </c>
      <c r="M255" s="5">
        <v>5.48</v>
      </c>
      <c r="N255" s="5">
        <v>0</v>
      </c>
      <c r="O255" s="5">
        <v>3.2</v>
      </c>
      <c r="P255" s="5">
        <v>799046.94</v>
      </c>
      <c r="Q255" s="5">
        <v>144553.64000000001</v>
      </c>
      <c r="S255" s="5">
        <v>63582.11</v>
      </c>
      <c r="T255" s="5">
        <v>6856</v>
      </c>
      <c r="U255" s="5">
        <v>89.5</v>
      </c>
      <c r="V255" s="5">
        <f t="shared" si="15"/>
        <v>0</v>
      </c>
    </row>
    <row r="256" spans="1:22">
      <c r="A256" s="5" t="s">
        <v>85</v>
      </c>
      <c r="B256" s="6">
        <v>45717</v>
      </c>
      <c r="C256" s="5" t="s">
        <v>24</v>
      </c>
      <c r="D256" s="5">
        <f t="shared" si="12"/>
        <v>0</v>
      </c>
      <c r="E256" s="5">
        <f t="shared" si="13"/>
        <v>1</v>
      </c>
      <c r="F256" s="5">
        <f t="shared" si="14"/>
        <v>0</v>
      </c>
      <c r="G256" s="5" t="s">
        <v>21</v>
      </c>
      <c r="H256" s="5">
        <v>75412.740000000005</v>
      </c>
      <c r="I256" s="5">
        <v>5641</v>
      </c>
      <c r="J256" s="5">
        <v>5.8999999999999997E-2</v>
      </c>
      <c r="K256" s="5">
        <v>13</v>
      </c>
      <c r="L256" s="5">
        <v>87.9</v>
      </c>
      <c r="M256" s="5">
        <v>0.84</v>
      </c>
      <c r="N256" s="5">
        <v>0</v>
      </c>
      <c r="O256" s="5">
        <v>3.6</v>
      </c>
      <c r="P256" s="5">
        <v>720079.54</v>
      </c>
      <c r="Q256" s="5">
        <v>119499.47</v>
      </c>
      <c r="S256" s="5">
        <v>75412.740000000005</v>
      </c>
      <c r="T256" s="5">
        <v>5641</v>
      </c>
      <c r="U256" s="5">
        <v>87.9</v>
      </c>
      <c r="V256" s="5">
        <f t="shared" si="15"/>
        <v>0</v>
      </c>
    </row>
    <row r="257" spans="1:22">
      <c r="A257" s="5" t="s">
        <v>85</v>
      </c>
      <c r="B257" s="6">
        <v>45748</v>
      </c>
      <c r="C257" s="5" t="s">
        <v>24</v>
      </c>
      <c r="D257" s="5">
        <f t="shared" si="12"/>
        <v>0</v>
      </c>
      <c r="E257" s="5">
        <f t="shared" si="13"/>
        <v>1</v>
      </c>
      <c r="F257" s="5">
        <f t="shared" si="14"/>
        <v>0</v>
      </c>
      <c r="G257" s="5" t="s">
        <v>21</v>
      </c>
      <c r="H257" s="5">
        <v>36290.080000000002</v>
      </c>
      <c r="I257" s="5">
        <v>5787</v>
      </c>
      <c r="J257" s="5">
        <v>0</v>
      </c>
      <c r="K257" s="5">
        <v>17</v>
      </c>
      <c r="L257" s="5">
        <v>88.3</v>
      </c>
      <c r="M257" s="5">
        <v>4.1900000000000004</v>
      </c>
      <c r="N257" s="5">
        <v>0</v>
      </c>
      <c r="O257" s="5">
        <v>4.0999999999999996</v>
      </c>
      <c r="P257" s="5">
        <v>612390.14</v>
      </c>
      <c r="Q257" s="5">
        <v>108985.74</v>
      </c>
      <c r="S257" s="5">
        <v>36290.080000000002</v>
      </c>
      <c r="T257" s="5">
        <v>5787</v>
      </c>
      <c r="U257" s="5">
        <v>88.3</v>
      </c>
      <c r="V257" s="5">
        <f t="shared" si="15"/>
        <v>0</v>
      </c>
    </row>
    <row r="258" spans="1:22">
      <c r="A258" s="5" t="s">
        <v>86</v>
      </c>
      <c r="B258" s="6">
        <v>45658</v>
      </c>
      <c r="C258" s="5" t="s">
        <v>24</v>
      </c>
      <c r="D258" s="5">
        <f t="shared" si="12"/>
        <v>0</v>
      </c>
      <c r="E258" s="5">
        <f t="shared" si="13"/>
        <v>1</v>
      </c>
      <c r="F258" s="5">
        <f t="shared" si="14"/>
        <v>0</v>
      </c>
      <c r="G258" s="5" t="s">
        <v>28</v>
      </c>
      <c r="H258" s="5">
        <v>65272.58</v>
      </c>
      <c r="I258" s="5">
        <v>8165</v>
      </c>
      <c r="J258" s="5">
        <v>5.0999999999999997E-2</v>
      </c>
      <c r="K258" s="5">
        <v>19</v>
      </c>
      <c r="L258" s="5">
        <v>87.8</v>
      </c>
      <c r="M258" s="5">
        <v>1.26</v>
      </c>
      <c r="N258" s="5">
        <v>1</v>
      </c>
      <c r="O258" s="5">
        <v>4.3</v>
      </c>
      <c r="P258" s="5">
        <v>840108.12</v>
      </c>
      <c r="Q258" s="5">
        <v>126587.01</v>
      </c>
      <c r="S258" s="5">
        <v>65272.58</v>
      </c>
      <c r="T258" s="5">
        <v>8165</v>
      </c>
      <c r="U258" s="5">
        <v>87.8</v>
      </c>
      <c r="V258" s="5">
        <f t="shared" si="15"/>
        <v>0</v>
      </c>
    </row>
    <row r="259" spans="1:22">
      <c r="A259" s="5" t="s">
        <v>86</v>
      </c>
      <c r="B259" s="6">
        <v>45689</v>
      </c>
      <c r="C259" s="5" t="s">
        <v>24</v>
      </c>
      <c r="D259" s="5">
        <f t="shared" ref="D259:D321" si="16">IF(C259="North",1,0)</f>
        <v>0</v>
      </c>
      <c r="E259" s="5">
        <f t="shared" ref="E259:E321" si="17">IF(C259="South",1,0)</f>
        <v>1</v>
      </c>
      <c r="F259" s="5">
        <f t="shared" ref="F259:F321" si="18">IF(C259="East",1,0)</f>
        <v>0</v>
      </c>
      <c r="G259" s="5" t="s">
        <v>28</v>
      </c>
      <c r="H259" s="5">
        <v>28670.43</v>
      </c>
      <c r="I259" s="5">
        <v>7574</v>
      </c>
      <c r="J259" s="5">
        <v>0.114</v>
      </c>
      <c r="K259" s="5">
        <v>19</v>
      </c>
      <c r="L259" s="5">
        <v>82.7</v>
      </c>
      <c r="M259" s="5">
        <v>2.74</v>
      </c>
      <c r="N259" s="5">
        <v>0</v>
      </c>
      <c r="O259" s="5">
        <v>4.5999999999999996</v>
      </c>
      <c r="P259" s="5">
        <v>697888.09</v>
      </c>
      <c r="Q259" s="5">
        <v>116249.87</v>
      </c>
      <c r="S259" s="5">
        <v>28670.43</v>
      </c>
      <c r="T259" s="5">
        <v>7574</v>
      </c>
      <c r="U259" s="5">
        <v>82.7</v>
      </c>
      <c r="V259" s="5">
        <f t="shared" ref="V259:V321" si="19">IF(U259="North",1,0)</f>
        <v>0</v>
      </c>
    </row>
    <row r="260" spans="1:22">
      <c r="A260" s="5" t="s">
        <v>86</v>
      </c>
      <c r="B260" s="6">
        <v>45717</v>
      </c>
      <c r="C260" s="5" t="s">
        <v>24</v>
      </c>
      <c r="D260" s="5">
        <f t="shared" si="16"/>
        <v>0</v>
      </c>
      <c r="E260" s="5">
        <f t="shared" si="17"/>
        <v>1</v>
      </c>
      <c r="F260" s="5">
        <f t="shared" si="18"/>
        <v>0</v>
      </c>
      <c r="G260" s="5" t="s">
        <v>28</v>
      </c>
      <c r="H260" s="5">
        <v>44189.34</v>
      </c>
      <c r="I260" s="5">
        <v>8634</v>
      </c>
      <c r="J260" s="5">
        <v>0.14299999999999999</v>
      </c>
      <c r="K260" s="5">
        <v>19</v>
      </c>
      <c r="L260" s="5">
        <v>87.5</v>
      </c>
      <c r="M260" s="5">
        <v>3.69</v>
      </c>
      <c r="N260" s="5">
        <v>0</v>
      </c>
      <c r="O260" s="5">
        <v>4.4000000000000004</v>
      </c>
      <c r="P260" s="5">
        <v>746115.59</v>
      </c>
      <c r="Q260" s="5">
        <v>94662.96</v>
      </c>
      <c r="S260" s="5">
        <v>44189.34</v>
      </c>
      <c r="T260" s="5">
        <v>8634</v>
      </c>
      <c r="U260" s="5">
        <v>87.5</v>
      </c>
      <c r="V260" s="5">
        <f t="shared" si="19"/>
        <v>0</v>
      </c>
    </row>
    <row r="261" spans="1:22">
      <c r="A261" s="5" t="s">
        <v>86</v>
      </c>
      <c r="B261" s="6">
        <v>45748</v>
      </c>
      <c r="C261" s="5" t="s">
        <v>24</v>
      </c>
      <c r="D261" s="5">
        <f t="shared" si="16"/>
        <v>0</v>
      </c>
      <c r="E261" s="5">
        <f t="shared" si="17"/>
        <v>1</v>
      </c>
      <c r="F261" s="5">
        <f t="shared" si="18"/>
        <v>0</v>
      </c>
      <c r="G261" s="5" t="s">
        <v>28</v>
      </c>
      <c r="H261" s="5">
        <v>38397.82</v>
      </c>
      <c r="I261" s="5">
        <v>7836</v>
      </c>
      <c r="J261" s="5">
        <v>7.0000000000000001E-3</v>
      </c>
      <c r="K261" s="5">
        <v>21</v>
      </c>
      <c r="L261" s="5">
        <v>92.2</v>
      </c>
      <c r="M261" s="5">
        <v>1.82</v>
      </c>
      <c r="N261" s="5">
        <v>0</v>
      </c>
      <c r="O261" s="5">
        <v>3.6</v>
      </c>
      <c r="P261" s="5">
        <v>776110.32</v>
      </c>
      <c r="Q261" s="5">
        <v>139676.21</v>
      </c>
      <c r="S261" s="5">
        <v>38397.82</v>
      </c>
      <c r="T261" s="5">
        <v>7836</v>
      </c>
      <c r="U261" s="5">
        <v>92.2</v>
      </c>
      <c r="V261" s="5">
        <f t="shared" si="19"/>
        <v>0</v>
      </c>
    </row>
    <row r="262" spans="1:22">
      <c r="A262" s="5" t="s">
        <v>87</v>
      </c>
      <c r="B262" s="6">
        <v>45658</v>
      </c>
      <c r="C262" s="5" t="s">
        <v>27</v>
      </c>
      <c r="D262" s="5">
        <f t="shared" si="16"/>
        <v>0</v>
      </c>
      <c r="E262" s="5">
        <f t="shared" si="17"/>
        <v>0</v>
      </c>
      <c r="F262" s="5">
        <f t="shared" si="18"/>
        <v>0</v>
      </c>
      <c r="G262" s="5" t="s">
        <v>18</v>
      </c>
      <c r="H262" s="5">
        <v>14519.37</v>
      </c>
      <c r="I262" s="5">
        <v>3047</v>
      </c>
      <c r="J262" s="5">
        <v>0.13500000000000001</v>
      </c>
      <c r="K262" s="5">
        <v>10</v>
      </c>
      <c r="L262" s="5">
        <v>90.3</v>
      </c>
      <c r="M262" s="5">
        <v>6.62</v>
      </c>
      <c r="N262" s="5">
        <v>0</v>
      </c>
      <c r="O262" s="5">
        <v>4.2</v>
      </c>
      <c r="P262" s="5">
        <v>528852.62</v>
      </c>
      <c r="Q262" s="5">
        <v>68426.210000000006</v>
      </c>
      <c r="S262" s="5">
        <v>14519.37</v>
      </c>
      <c r="T262" s="5">
        <v>3047</v>
      </c>
      <c r="U262" s="5">
        <v>90.3</v>
      </c>
      <c r="V262" s="5">
        <f t="shared" si="19"/>
        <v>0</v>
      </c>
    </row>
    <row r="263" spans="1:22">
      <c r="A263" s="5" t="s">
        <v>87</v>
      </c>
      <c r="B263" s="6">
        <v>45689</v>
      </c>
      <c r="C263" s="5" t="s">
        <v>27</v>
      </c>
      <c r="D263" s="5">
        <f t="shared" si="16"/>
        <v>0</v>
      </c>
      <c r="E263" s="5">
        <f t="shared" si="17"/>
        <v>0</v>
      </c>
      <c r="F263" s="5">
        <f t="shared" si="18"/>
        <v>0</v>
      </c>
      <c r="G263" s="5" t="s">
        <v>18</v>
      </c>
      <c r="H263" s="5">
        <v>43288.2</v>
      </c>
      <c r="I263" s="5">
        <v>4783</v>
      </c>
      <c r="J263" s="5">
        <v>0.16900000000000001</v>
      </c>
      <c r="K263" s="5">
        <v>13</v>
      </c>
      <c r="L263" s="5">
        <v>87.3</v>
      </c>
      <c r="M263" s="5"/>
      <c r="N263" s="5">
        <v>0</v>
      </c>
      <c r="O263" s="5">
        <v>4.2</v>
      </c>
      <c r="P263" s="5">
        <v>605751.32999999996</v>
      </c>
      <c r="Q263" s="5">
        <v>60685.53</v>
      </c>
      <c r="S263" s="5">
        <v>43288.2</v>
      </c>
      <c r="T263" s="5">
        <v>4783</v>
      </c>
      <c r="U263" s="5">
        <v>87.3</v>
      </c>
      <c r="V263" s="5">
        <f t="shared" si="19"/>
        <v>0</v>
      </c>
    </row>
    <row r="264" spans="1:22">
      <c r="A264" s="5" t="s">
        <v>87</v>
      </c>
      <c r="B264" s="6">
        <v>45717</v>
      </c>
      <c r="C264" s="5" t="s">
        <v>27</v>
      </c>
      <c r="D264" s="5">
        <f t="shared" si="16"/>
        <v>0</v>
      </c>
      <c r="E264" s="5">
        <f t="shared" si="17"/>
        <v>0</v>
      </c>
      <c r="F264" s="5">
        <f t="shared" si="18"/>
        <v>0</v>
      </c>
      <c r="G264" s="5" t="s">
        <v>18</v>
      </c>
      <c r="H264" s="5">
        <v>51450.55</v>
      </c>
      <c r="I264" s="5">
        <v>4902</v>
      </c>
      <c r="J264" s="5">
        <v>8.5999999999999993E-2</v>
      </c>
      <c r="K264" s="5">
        <v>11</v>
      </c>
      <c r="L264" s="5">
        <v>83.7</v>
      </c>
      <c r="M264" s="5">
        <v>6.92</v>
      </c>
      <c r="N264" s="5">
        <v>1</v>
      </c>
      <c r="O264" s="5">
        <v>4.2</v>
      </c>
      <c r="P264" s="5">
        <v>677640.65</v>
      </c>
      <c r="Q264" s="5">
        <v>111610.89</v>
      </c>
      <c r="S264" s="5">
        <v>51450.55</v>
      </c>
      <c r="T264" s="5">
        <v>4902</v>
      </c>
      <c r="U264" s="5">
        <v>83.7</v>
      </c>
      <c r="V264" s="5">
        <f t="shared" si="19"/>
        <v>0</v>
      </c>
    </row>
    <row r="265" spans="1:22">
      <c r="A265" s="5" t="s">
        <v>87</v>
      </c>
      <c r="B265" s="6">
        <v>45748</v>
      </c>
      <c r="C265" s="5" t="s">
        <v>27</v>
      </c>
      <c r="D265" s="5">
        <f t="shared" si="16"/>
        <v>0</v>
      </c>
      <c r="E265" s="5">
        <f t="shared" si="17"/>
        <v>0</v>
      </c>
      <c r="F265" s="5">
        <f t="shared" si="18"/>
        <v>0</v>
      </c>
      <c r="G265" s="5" t="s">
        <v>18</v>
      </c>
      <c r="H265" s="5">
        <v>58688.26</v>
      </c>
      <c r="I265" s="5">
        <v>4022</v>
      </c>
      <c r="J265" s="5">
        <v>0.217</v>
      </c>
      <c r="K265" s="5">
        <v>12</v>
      </c>
      <c r="L265" s="5">
        <v>93.8</v>
      </c>
      <c r="M265" s="5">
        <v>11.78</v>
      </c>
      <c r="N265" s="5">
        <v>0</v>
      </c>
      <c r="O265" s="5">
        <v>3.7</v>
      </c>
      <c r="P265" s="5">
        <v>636613.23</v>
      </c>
      <c r="Q265" s="5">
        <v>78908.350000000006</v>
      </c>
      <c r="S265" s="5">
        <v>58688.26</v>
      </c>
      <c r="T265" s="5">
        <v>4022</v>
      </c>
      <c r="U265" s="5">
        <v>93.8</v>
      </c>
      <c r="V265" s="5">
        <f t="shared" si="19"/>
        <v>0</v>
      </c>
    </row>
    <row r="266" spans="1:22">
      <c r="A266" s="5" t="s">
        <v>88</v>
      </c>
      <c r="B266" s="6">
        <v>45658</v>
      </c>
      <c r="C266" s="5" t="s">
        <v>15</v>
      </c>
      <c r="D266" s="5">
        <f t="shared" si="16"/>
        <v>0</v>
      </c>
      <c r="E266" s="5">
        <f t="shared" si="17"/>
        <v>0</v>
      </c>
      <c r="F266" s="5">
        <f t="shared" si="18"/>
        <v>1</v>
      </c>
      <c r="G266" s="5" t="s">
        <v>18</v>
      </c>
      <c r="H266" s="5">
        <v>58981.91</v>
      </c>
      <c r="I266" s="5">
        <v>7324</v>
      </c>
      <c r="J266" s="5">
        <v>9.4E-2</v>
      </c>
      <c r="K266" s="5">
        <v>15</v>
      </c>
      <c r="L266" s="5">
        <v>95.8</v>
      </c>
      <c r="M266" s="5">
        <v>0.5</v>
      </c>
      <c r="N266" s="5">
        <v>0</v>
      </c>
      <c r="O266" s="5">
        <v>3.5</v>
      </c>
      <c r="P266" s="5">
        <v>708985.19</v>
      </c>
      <c r="Q266" s="5">
        <v>125368.16</v>
      </c>
      <c r="S266" s="5">
        <v>58981.91</v>
      </c>
      <c r="T266" s="5">
        <v>7324</v>
      </c>
      <c r="U266" s="5">
        <v>95.8</v>
      </c>
      <c r="V266" s="5">
        <f t="shared" si="19"/>
        <v>0</v>
      </c>
    </row>
    <row r="267" spans="1:22">
      <c r="A267" s="5" t="s">
        <v>88</v>
      </c>
      <c r="B267" s="6">
        <v>45689</v>
      </c>
      <c r="C267" s="5" t="s">
        <v>15</v>
      </c>
      <c r="D267" s="5">
        <f t="shared" si="16"/>
        <v>0</v>
      </c>
      <c r="E267" s="5">
        <f t="shared" si="17"/>
        <v>0</v>
      </c>
      <c r="F267" s="5">
        <f t="shared" si="18"/>
        <v>1</v>
      </c>
      <c r="G267" s="5" t="s">
        <v>18</v>
      </c>
      <c r="H267" s="5">
        <v>73454.539999999994</v>
      </c>
      <c r="I267" s="5">
        <v>8129</v>
      </c>
      <c r="J267" s="5">
        <v>0.21099999999999999</v>
      </c>
      <c r="K267" s="5">
        <v>20</v>
      </c>
      <c r="L267" s="5">
        <v>85.2</v>
      </c>
      <c r="M267" s="5">
        <v>0.88</v>
      </c>
      <c r="N267" s="5">
        <v>0</v>
      </c>
      <c r="O267" s="5">
        <v>3.7</v>
      </c>
      <c r="P267" s="5">
        <v>767792.94</v>
      </c>
      <c r="Q267" s="5">
        <v>96235.77</v>
      </c>
      <c r="S267" s="5">
        <v>73454.539999999994</v>
      </c>
      <c r="T267" s="5">
        <v>8129</v>
      </c>
      <c r="U267" s="5">
        <v>85.2</v>
      </c>
      <c r="V267" s="5">
        <f t="shared" si="19"/>
        <v>0</v>
      </c>
    </row>
    <row r="268" spans="1:22">
      <c r="A268" s="5" t="s">
        <v>88</v>
      </c>
      <c r="B268" s="6">
        <v>45717</v>
      </c>
      <c r="C268" s="5" t="s">
        <v>15</v>
      </c>
      <c r="D268" s="5">
        <f t="shared" si="16"/>
        <v>0</v>
      </c>
      <c r="E268" s="5">
        <f t="shared" si="17"/>
        <v>0</v>
      </c>
      <c r="F268" s="5">
        <f t="shared" si="18"/>
        <v>1</v>
      </c>
      <c r="G268" s="5" t="s">
        <v>18</v>
      </c>
      <c r="H268" s="5">
        <v>56602.39</v>
      </c>
      <c r="I268" s="5">
        <v>7969</v>
      </c>
      <c r="J268" s="5">
        <v>0.17</v>
      </c>
      <c r="K268" s="5">
        <v>21</v>
      </c>
      <c r="L268" s="5">
        <v>88.3</v>
      </c>
      <c r="M268" s="5">
        <v>2.25</v>
      </c>
      <c r="N268" s="5">
        <v>0</v>
      </c>
      <c r="O268" s="5">
        <v>3.7</v>
      </c>
      <c r="P268" s="5">
        <v>745580.51</v>
      </c>
      <c r="Q268" s="5">
        <v>116273.68</v>
      </c>
      <c r="S268" s="5">
        <v>56602.39</v>
      </c>
      <c r="T268" s="5">
        <v>7969</v>
      </c>
      <c r="U268" s="5">
        <v>88.3</v>
      </c>
      <c r="V268" s="5">
        <f t="shared" si="19"/>
        <v>0</v>
      </c>
    </row>
    <row r="269" spans="1:22">
      <c r="A269" s="5" t="s">
        <v>88</v>
      </c>
      <c r="B269" s="6">
        <v>45748</v>
      </c>
      <c r="C269" s="5" t="s">
        <v>15</v>
      </c>
      <c r="D269" s="5">
        <f t="shared" si="16"/>
        <v>0</v>
      </c>
      <c r="E269" s="5">
        <f t="shared" si="17"/>
        <v>0</v>
      </c>
      <c r="F269" s="5">
        <f t="shared" si="18"/>
        <v>1</v>
      </c>
      <c r="G269" s="5" t="s">
        <v>18</v>
      </c>
      <c r="H269" s="5">
        <v>67722.289999999994</v>
      </c>
      <c r="I269" s="5">
        <v>7240</v>
      </c>
      <c r="J269" s="5">
        <v>2.5999999999999999E-2</v>
      </c>
      <c r="K269" s="5">
        <v>15</v>
      </c>
      <c r="L269" s="5">
        <v>92.9</v>
      </c>
      <c r="M269" s="5">
        <v>0.28999999999999998</v>
      </c>
      <c r="N269" s="5">
        <v>0</v>
      </c>
      <c r="O269" s="5">
        <v>3.5</v>
      </c>
      <c r="P269" s="5">
        <v>762328.31</v>
      </c>
      <c r="Q269" s="5">
        <v>159158.19</v>
      </c>
      <c r="S269" s="5">
        <v>67722.289999999994</v>
      </c>
      <c r="T269" s="5">
        <v>7240</v>
      </c>
      <c r="U269" s="5">
        <v>92.9</v>
      </c>
      <c r="V269" s="5">
        <f t="shared" si="19"/>
        <v>0</v>
      </c>
    </row>
    <row r="270" spans="1:22">
      <c r="A270" s="5" t="s">
        <v>89</v>
      </c>
      <c r="B270" s="6">
        <v>45658</v>
      </c>
      <c r="C270" s="5" t="s">
        <v>15</v>
      </c>
      <c r="D270" s="5">
        <f t="shared" si="16"/>
        <v>0</v>
      </c>
      <c r="E270" s="5">
        <f t="shared" si="17"/>
        <v>0</v>
      </c>
      <c r="F270" s="5">
        <f t="shared" si="18"/>
        <v>1</v>
      </c>
      <c r="G270" s="5" t="s">
        <v>28</v>
      </c>
      <c r="H270" s="5">
        <v>48752.92</v>
      </c>
      <c r="I270" s="5">
        <v>8052</v>
      </c>
      <c r="J270" s="5">
        <v>0.106</v>
      </c>
      <c r="K270" s="5">
        <v>16</v>
      </c>
      <c r="L270" s="5">
        <v>94.9</v>
      </c>
      <c r="M270" s="5">
        <v>0.65</v>
      </c>
      <c r="N270" s="5">
        <v>0</v>
      </c>
      <c r="O270" s="5">
        <v>3.6</v>
      </c>
      <c r="P270" s="5">
        <v>660633.99</v>
      </c>
      <c r="Q270" s="5">
        <v>118768.66</v>
      </c>
      <c r="S270" s="5">
        <v>48752.92</v>
      </c>
      <c r="T270" s="5">
        <v>8052</v>
      </c>
      <c r="U270" s="5">
        <v>94.9</v>
      </c>
      <c r="V270" s="5">
        <f t="shared" si="19"/>
        <v>0</v>
      </c>
    </row>
    <row r="271" spans="1:22">
      <c r="A271" s="5" t="s">
        <v>89</v>
      </c>
      <c r="B271" s="6">
        <v>45689</v>
      </c>
      <c r="C271" s="5" t="s">
        <v>15</v>
      </c>
      <c r="D271" s="5">
        <f t="shared" si="16"/>
        <v>0</v>
      </c>
      <c r="E271" s="5">
        <f t="shared" si="17"/>
        <v>0</v>
      </c>
      <c r="F271" s="5">
        <f t="shared" si="18"/>
        <v>1</v>
      </c>
      <c r="G271" s="5" t="s">
        <v>28</v>
      </c>
      <c r="H271" s="5">
        <v>23914.97</v>
      </c>
      <c r="I271" s="5">
        <v>8018</v>
      </c>
      <c r="J271" s="5">
        <v>0.13900000000000001</v>
      </c>
      <c r="K271" s="5">
        <v>20</v>
      </c>
      <c r="L271" s="5">
        <v>89</v>
      </c>
      <c r="M271" s="5">
        <v>0.2</v>
      </c>
      <c r="N271" s="5">
        <v>0</v>
      </c>
      <c r="O271" s="5">
        <v>3.5</v>
      </c>
      <c r="P271" s="5">
        <v>739374.56</v>
      </c>
      <c r="Q271" s="5">
        <v>121032.29</v>
      </c>
      <c r="S271" s="5">
        <v>23914.97</v>
      </c>
      <c r="T271" s="5">
        <v>8018</v>
      </c>
      <c r="U271" s="5">
        <v>89</v>
      </c>
      <c r="V271" s="5">
        <f t="shared" si="19"/>
        <v>0</v>
      </c>
    </row>
    <row r="272" spans="1:22">
      <c r="A272" s="5" t="s">
        <v>89</v>
      </c>
      <c r="B272" s="6">
        <v>45717</v>
      </c>
      <c r="C272" s="5" t="s">
        <v>15</v>
      </c>
      <c r="D272" s="5">
        <f t="shared" si="16"/>
        <v>0</v>
      </c>
      <c r="E272" s="5">
        <f t="shared" si="17"/>
        <v>0</v>
      </c>
      <c r="F272" s="5">
        <f t="shared" si="18"/>
        <v>1</v>
      </c>
      <c r="G272" s="5" t="s">
        <v>28</v>
      </c>
      <c r="H272" s="5">
        <v>61995.3</v>
      </c>
      <c r="I272" s="5">
        <v>10192</v>
      </c>
      <c r="J272" s="5">
        <v>0.19800000000000001</v>
      </c>
      <c r="K272" s="5">
        <v>21</v>
      </c>
      <c r="L272" s="5">
        <v>87.6</v>
      </c>
      <c r="M272" s="5">
        <v>3.63</v>
      </c>
      <c r="N272" s="5">
        <v>1</v>
      </c>
      <c r="O272" s="5">
        <v>3.8</v>
      </c>
      <c r="P272" s="5">
        <v>799756.46</v>
      </c>
      <c r="Q272" s="5">
        <v>105052.93</v>
      </c>
      <c r="S272" s="5">
        <v>61995.3</v>
      </c>
      <c r="T272" s="5">
        <v>10192</v>
      </c>
      <c r="U272" s="5">
        <v>87.6</v>
      </c>
      <c r="V272" s="5">
        <f t="shared" si="19"/>
        <v>0</v>
      </c>
    </row>
    <row r="273" spans="1:22">
      <c r="A273" s="5" t="s">
        <v>89</v>
      </c>
      <c r="B273" s="6">
        <v>45748</v>
      </c>
      <c r="C273" s="5" t="s">
        <v>15</v>
      </c>
      <c r="D273" s="5">
        <f t="shared" si="16"/>
        <v>0</v>
      </c>
      <c r="E273" s="5">
        <f t="shared" si="17"/>
        <v>0</v>
      </c>
      <c r="F273" s="5">
        <f t="shared" si="18"/>
        <v>1</v>
      </c>
      <c r="G273" s="5" t="s">
        <v>28</v>
      </c>
      <c r="H273" s="5">
        <v>29344.93</v>
      </c>
      <c r="I273" s="5">
        <v>7446</v>
      </c>
      <c r="J273" s="5">
        <v>0.111</v>
      </c>
      <c r="K273" s="5">
        <v>15</v>
      </c>
      <c r="L273" s="5">
        <v>86.2</v>
      </c>
      <c r="M273" s="5">
        <v>0.2</v>
      </c>
      <c r="N273" s="5">
        <v>0</v>
      </c>
      <c r="O273" s="5">
        <v>3.2</v>
      </c>
      <c r="P273" s="5">
        <v>593343</v>
      </c>
      <c r="Q273" s="5">
        <v>82832.240000000005</v>
      </c>
      <c r="S273" s="5">
        <v>29344.93</v>
      </c>
      <c r="T273" s="5">
        <v>7446</v>
      </c>
      <c r="U273" s="5">
        <v>86.2</v>
      </c>
      <c r="V273" s="5">
        <f t="shared" si="19"/>
        <v>0</v>
      </c>
    </row>
    <row r="274" spans="1:22">
      <c r="A274" s="5" t="s">
        <v>90</v>
      </c>
      <c r="B274" s="6">
        <v>45658</v>
      </c>
      <c r="C274" s="5" t="s">
        <v>27</v>
      </c>
      <c r="D274" s="5">
        <f t="shared" si="16"/>
        <v>0</v>
      </c>
      <c r="E274" s="5">
        <f t="shared" si="17"/>
        <v>0</v>
      </c>
      <c r="F274" s="5">
        <f t="shared" si="18"/>
        <v>0</v>
      </c>
      <c r="G274" s="5" t="s">
        <v>18</v>
      </c>
      <c r="H274" s="5">
        <v>50532.17</v>
      </c>
      <c r="I274" s="5">
        <v>5689</v>
      </c>
      <c r="J274" s="5">
        <v>5.1999999999999998E-2</v>
      </c>
      <c r="K274" s="5">
        <v>17</v>
      </c>
      <c r="L274" s="5">
        <v>85.6</v>
      </c>
      <c r="M274" s="5">
        <v>6.23</v>
      </c>
      <c r="N274" s="5">
        <v>0</v>
      </c>
      <c r="O274" s="5">
        <v>3.3</v>
      </c>
      <c r="P274" s="5">
        <v>645039.97</v>
      </c>
      <c r="Q274" s="5">
        <v>83093.33</v>
      </c>
      <c r="S274" s="5">
        <v>50532.17</v>
      </c>
      <c r="T274" s="5">
        <v>5689</v>
      </c>
      <c r="U274" s="5">
        <v>85.6</v>
      </c>
      <c r="V274" s="5">
        <f t="shared" si="19"/>
        <v>0</v>
      </c>
    </row>
    <row r="275" spans="1:22">
      <c r="A275" s="5" t="s">
        <v>90</v>
      </c>
      <c r="B275" s="6">
        <v>45689</v>
      </c>
      <c r="C275" s="5" t="s">
        <v>27</v>
      </c>
      <c r="D275" s="5">
        <f t="shared" si="16"/>
        <v>0</v>
      </c>
      <c r="E275" s="5">
        <f t="shared" si="17"/>
        <v>0</v>
      </c>
      <c r="F275" s="5">
        <f t="shared" si="18"/>
        <v>0</v>
      </c>
      <c r="G275" s="5" t="s">
        <v>18</v>
      </c>
      <c r="H275" s="5">
        <v>17562.57</v>
      </c>
      <c r="I275" s="5">
        <v>3326</v>
      </c>
      <c r="J275" s="5">
        <v>0.153</v>
      </c>
      <c r="K275" s="5">
        <v>14</v>
      </c>
      <c r="L275" s="5">
        <v>88.1</v>
      </c>
      <c r="M275" s="5">
        <v>1.04</v>
      </c>
      <c r="N275" s="5">
        <v>0</v>
      </c>
      <c r="O275" s="5">
        <v>3.1</v>
      </c>
      <c r="P275" s="5">
        <v>561597.32999999996</v>
      </c>
      <c r="Q275" s="5">
        <v>75072.75</v>
      </c>
      <c r="S275" s="5">
        <v>17562.57</v>
      </c>
      <c r="T275" s="5">
        <v>3326</v>
      </c>
      <c r="U275" s="5">
        <v>88.1</v>
      </c>
      <c r="V275" s="5">
        <f t="shared" si="19"/>
        <v>0</v>
      </c>
    </row>
    <row r="276" spans="1:22">
      <c r="A276" s="5" t="s">
        <v>90</v>
      </c>
      <c r="B276" s="6">
        <v>45717</v>
      </c>
      <c r="C276" s="5" t="s">
        <v>27</v>
      </c>
      <c r="D276" s="5">
        <f t="shared" si="16"/>
        <v>0</v>
      </c>
      <c r="E276" s="5">
        <f t="shared" si="17"/>
        <v>0</v>
      </c>
      <c r="F276" s="5">
        <f t="shared" si="18"/>
        <v>0</v>
      </c>
      <c r="G276" s="5" t="s">
        <v>18</v>
      </c>
      <c r="H276" s="5">
        <v>47648.71</v>
      </c>
      <c r="I276" s="5">
        <v>5767</v>
      </c>
      <c r="J276" s="5">
        <v>0.14099999999999999</v>
      </c>
      <c r="K276" s="5">
        <v>17</v>
      </c>
      <c r="L276" s="5">
        <v>89.8</v>
      </c>
      <c r="M276" s="5">
        <v>1.76</v>
      </c>
      <c r="N276" s="5">
        <v>0</v>
      </c>
      <c r="O276" s="5">
        <v>3.1</v>
      </c>
      <c r="P276" s="5">
        <v>635837.74</v>
      </c>
      <c r="Q276" s="5">
        <v>114740.64</v>
      </c>
      <c r="S276" s="5">
        <v>47648.71</v>
      </c>
      <c r="T276" s="5">
        <v>5767</v>
      </c>
      <c r="U276" s="5">
        <v>89.8</v>
      </c>
      <c r="V276" s="5">
        <f t="shared" si="19"/>
        <v>0</v>
      </c>
    </row>
    <row r="277" spans="1:22">
      <c r="A277" s="5" t="s">
        <v>90</v>
      </c>
      <c r="B277" s="6">
        <v>45748</v>
      </c>
      <c r="C277" s="5" t="s">
        <v>27</v>
      </c>
      <c r="D277" s="5">
        <f t="shared" si="16"/>
        <v>0</v>
      </c>
      <c r="E277" s="5">
        <f t="shared" si="17"/>
        <v>0</v>
      </c>
      <c r="F277" s="5">
        <f t="shared" si="18"/>
        <v>0</v>
      </c>
      <c r="G277" s="5" t="s">
        <v>18</v>
      </c>
      <c r="H277" s="5">
        <v>38297.58</v>
      </c>
      <c r="I277" s="5">
        <v>5893</v>
      </c>
      <c r="J277" s="5">
        <v>0.247</v>
      </c>
      <c r="K277" s="5">
        <v>18</v>
      </c>
      <c r="L277" s="5">
        <v>77.599999999999994</v>
      </c>
      <c r="M277" s="5">
        <v>2.86</v>
      </c>
      <c r="N277" s="5">
        <v>0</v>
      </c>
      <c r="O277" s="5">
        <v>3</v>
      </c>
      <c r="P277" s="5">
        <v>686737.87</v>
      </c>
      <c r="Q277" s="5">
        <v>83839.67</v>
      </c>
      <c r="S277" s="5">
        <v>38297.58</v>
      </c>
      <c r="T277" s="5">
        <v>5893</v>
      </c>
      <c r="U277" s="5">
        <v>77.599999999999994</v>
      </c>
      <c r="V277" s="5">
        <f t="shared" si="19"/>
        <v>0</v>
      </c>
    </row>
    <row r="278" spans="1:22">
      <c r="A278" s="5" t="s">
        <v>91</v>
      </c>
      <c r="B278" s="6">
        <v>45658</v>
      </c>
      <c r="C278" s="5" t="s">
        <v>24</v>
      </c>
      <c r="D278" s="5">
        <f t="shared" si="16"/>
        <v>0</v>
      </c>
      <c r="E278" s="5">
        <f t="shared" si="17"/>
        <v>1</v>
      </c>
      <c r="F278" s="5">
        <f t="shared" si="18"/>
        <v>0</v>
      </c>
      <c r="G278" s="5" t="s">
        <v>16</v>
      </c>
      <c r="H278" s="5">
        <v>61784.11</v>
      </c>
      <c r="I278" s="5">
        <v>8564</v>
      </c>
      <c r="J278" s="5">
        <v>0.13</v>
      </c>
      <c r="K278" s="5">
        <v>17</v>
      </c>
      <c r="L278" s="5">
        <v>87.4</v>
      </c>
      <c r="M278" s="5">
        <v>18.14</v>
      </c>
      <c r="N278" s="5">
        <v>1</v>
      </c>
      <c r="O278" s="5">
        <v>3.4</v>
      </c>
      <c r="P278" s="5">
        <v>673076.34</v>
      </c>
      <c r="Q278" s="5">
        <v>93899.76</v>
      </c>
      <c r="S278" s="5">
        <v>61784.11</v>
      </c>
      <c r="T278" s="5">
        <v>8564</v>
      </c>
      <c r="U278" s="5">
        <v>87.4</v>
      </c>
      <c r="V278" s="5">
        <f t="shared" si="19"/>
        <v>0</v>
      </c>
    </row>
    <row r="279" spans="1:22">
      <c r="A279" s="5" t="s">
        <v>91</v>
      </c>
      <c r="B279" s="6">
        <v>45689</v>
      </c>
      <c r="C279" s="5" t="s">
        <v>24</v>
      </c>
      <c r="D279" s="5">
        <f t="shared" si="16"/>
        <v>0</v>
      </c>
      <c r="E279" s="5">
        <f t="shared" si="17"/>
        <v>1</v>
      </c>
      <c r="F279" s="5">
        <f t="shared" si="18"/>
        <v>0</v>
      </c>
      <c r="G279" s="5" t="s">
        <v>16</v>
      </c>
      <c r="H279" s="5">
        <v>36832.33</v>
      </c>
      <c r="I279" s="5">
        <v>8001</v>
      </c>
      <c r="J279" s="5">
        <v>0</v>
      </c>
      <c r="K279" s="5">
        <v>19</v>
      </c>
      <c r="L279" s="5">
        <v>88.7</v>
      </c>
      <c r="M279" s="5">
        <v>3.39</v>
      </c>
      <c r="N279" s="5">
        <v>0</v>
      </c>
      <c r="O279" s="5">
        <v>4</v>
      </c>
      <c r="P279" s="5">
        <v>738548.42</v>
      </c>
      <c r="Q279" s="5">
        <v>134282.76999999999</v>
      </c>
      <c r="S279" s="5">
        <v>36832.33</v>
      </c>
      <c r="T279" s="5">
        <v>8001</v>
      </c>
      <c r="U279" s="5">
        <v>88.7</v>
      </c>
      <c r="V279" s="5">
        <f t="shared" si="19"/>
        <v>0</v>
      </c>
    </row>
    <row r="280" spans="1:22">
      <c r="A280" s="5" t="s">
        <v>91</v>
      </c>
      <c r="B280" s="6">
        <v>45717</v>
      </c>
      <c r="C280" s="5" t="s">
        <v>24</v>
      </c>
      <c r="D280" s="5">
        <f t="shared" si="16"/>
        <v>0</v>
      </c>
      <c r="E280" s="5">
        <f t="shared" si="17"/>
        <v>1</v>
      </c>
      <c r="F280" s="5">
        <f t="shared" si="18"/>
        <v>0</v>
      </c>
      <c r="G280" s="5" t="s">
        <v>16</v>
      </c>
      <c r="H280" s="5">
        <v>48609.41</v>
      </c>
      <c r="I280" s="5">
        <v>9324</v>
      </c>
      <c r="J280" s="5">
        <v>0.21299999999999999</v>
      </c>
      <c r="K280" s="5">
        <v>18</v>
      </c>
      <c r="L280" s="5">
        <v>86.5</v>
      </c>
      <c r="M280" s="5">
        <v>1.44</v>
      </c>
      <c r="N280" s="5">
        <v>0</v>
      </c>
      <c r="O280" s="5">
        <v>3.9</v>
      </c>
      <c r="P280" s="5">
        <v>756619.77</v>
      </c>
      <c r="Q280" s="5">
        <v>112057.69</v>
      </c>
      <c r="S280" s="5">
        <v>48609.41</v>
      </c>
      <c r="T280" s="5">
        <v>9324</v>
      </c>
      <c r="U280" s="5">
        <v>86.5</v>
      </c>
      <c r="V280" s="5">
        <f t="shared" si="19"/>
        <v>0</v>
      </c>
    </row>
    <row r="281" spans="1:22">
      <c r="A281" s="5" t="s">
        <v>91</v>
      </c>
      <c r="B281" s="6">
        <v>45748</v>
      </c>
      <c r="C281" s="5" t="s">
        <v>24</v>
      </c>
      <c r="D281" s="5">
        <f t="shared" si="16"/>
        <v>0</v>
      </c>
      <c r="E281" s="5">
        <f t="shared" si="17"/>
        <v>1</v>
      </c>
      <c r="F281" s="5">
        <f t="shared" si="18"/>
        <v>0</v>
      </c>
      <c r="G281" s="5" t="s">
        <v>16</v>
      </c>
      <c r="H281" s="5">
        <v>70284.06</v>
      </c>
      <c r="I281" s="5">
        <v>9109</v>
      </c>
      <c r="J281" s="5">
        <v>4.0000000000000001E-3</v>
      </c>
      <c r="K281" s="5">
        <v>23</v>
      </c>
      <c r="L281" s="5">
        <v>87</v>
      </c>
      <c r="M281" s="5">
        <v>3.65</v>
      </c>
      <c r="N281" s="5">
        <v>0</v>
      </c>
      <c r="O281" s="5">
        <v>3.7</v>
      </c>
      <c r="P281" s="5">
        <v>761122.42</v>
      </c>
      <c r="Q281" s="5">
        <v>149802.04</v>
      </c>
      <c r="S281" s="5">
        <v>70284.06</v>
      </c>
      <c r="T281" s="5">
        <v>9109</v>
      </c>
      <c r="U281" s="5">
        <v>87</v>
      </c>
      <c r="V281" s="5">
        <f t="shared" si="19"/>
        <v>0</v>
      </c>
    </row>
    <row r="282" spans="1:22">
      <c r="A282" s="5" t="s">
        <v>92</v>
      </c>
      <c r="B282" s="6">
        <v>45658</v>
      </c>
      <c r="C282" s="5" t="s">
        <v>24</v>
      </c>
      <c r="D282" s="5">
        <f t="shared" si="16"/>
        <v>0</v>
      </c>
      <c r="E282" s="5">
        <f t="shared" si="17"/>
        <v>1</v>
      </c>
      <c r="F282" s="5">
        <f t="shared" si="18"/>
        <v>0</v>
      </c>
      <c r="G282" s="5" t="s">
        <v>18</v>
      </c>
      <c r="H282" s="5">
        <v>45940.39</v>
      </c>
      <c r="I282" s="5">
        <v>4022</v>
      </c>
      <c r="J282" s="5">
        <v>6.9000000000000006E-2</v>
      </c>
      <c r="K282" s="5">
        <v>10</v>
      </c>
      <c r="L282" s="5">
        <v>83</v>
      </c>
      <c r="M282" s="5">
        <v>1.23</v>
      </c>
      <c r="N282" s="5">
        <v>1</v>
      </c>
      <c r="O282" s="5">
        <v>3.8</v>
      </c>
      <c r="P282" s="5">
        <v>524899.56999999995</v>
      </c>
      <c r="Q282" s="5">
        <v>63619.98</v>
      </c>
      <c r="S282" s="5">
        <v>45940.39</v>
      </c>
      <c r="T282" s="5">
        <v>4022</v>
      </c>
      <c r="U282" s="5">
        <v>83</v>
      </c>
      <c r="V282" s="5">
        <f t="shared" si="19"/>
        <v>0</v>
      </c>
    </row>
    <row r="283" spans="1:22">
      <c r="A283" s="5" t="s">
        <v>92</v>
      </c>
      <c r="B283" s="6">
        <v>45689</v>
      </c>
      <c r="C283" s="5" t="s">
        <v>24</v>
      </c>
      <c r="D283" s="5">
        <f t="shared" si="16"/>
        <v>0</v>
      </c>
      <c r="E283" s="5">
        <f t="shared" si="17"/>
        <v>1</v>
      </c>
      <c r="F283" s="5">
        <f t="shared" si="18"/>
        <v>0</v>
      </c>
      <c r="G283" s="5" t="s">
        <v>18</v>
      </c>
      <c r="H283" s="5">
        <v>34771.26</v>
      </c>
      <c r="I283" s="5">
        <v>4355</v>
      </c>
      <c r="J283" s="5">
        <v>5.0999999999999997E-2</v>
      </c>
      <c r="K283" s="5">
        <v>15</v>
      </c>
      <c r="L283" s="5">
        <v>87.9</v>
      </c>
      <c r="M283" s="5">
        <v>3.09</v>
      </c>
      <c r="N283" s="5">
        <v>0</v>
      </c>
      <c r="O283" s="5">
        <v>4</v>
      </c>
      <c r="P283" s="5">
        <v>555557.77</v>
      </c>
      <c r="Q283" s="5">
        <v>86475.51</v>
      </c>
      <c r="S283" s="5">
        <v>34771.26</v>
      </c>
      <c r="T283" s="5">
        <v>4355</v>
      </c>
      <c r="U283" s="5">
        <v>87.9</v>
      </c>
      <c r="V283" s="5">
        <f t="shared" si="19"/>
        <v>0</v>
      </c>
    </row>
    <row r="284" spans="1:22">
      <c r="A284" s="5" t="s">
        <v>92</v>
      </c>
      <c r="B284" s="6">
        <v>45717</v>
      </c>
      <c r="C284" s="5" t="s">
        <v>24</v>
      </c>
      <c r="D284" s="5">
        <f t="shared" si="16"/>
        <v>0</v>
      </c>
      <c r="E284" s="5">
        <f t="shared" si="17"/>
        <v>1</v>
      </c>
      <c r="F284" s="5">
        <f t="shared" si="18"/>
        <v>0</v>
      </c>
      <c r="G284" s="5" t="s">
        <v>18</v>
      </c>
      <c r="H284" s="5">
        <v>66104.19</v>
      </c>
      <c r="I284" s="5">
        <v>5745</v>
      </c>
      <c r="J284" s="5">
        <v>7.0000000000000007E-2</v>
      </c>
      <c r="K284" s="5">
        <v>17</v>
      </c>
      <c r="L284" s="5">
        <v>95.8</v>
      </c>
      <c r="M284" s="5">
        <v>3.15</v>
      </c>
      <c r="N284" s="5">
        <v>0</v>
      </c>
      <c r="O284" s="5">
        <v>4</v>
      </c>
      <c r="P284" s="5">
        <v>714083.68</v>
      </c>
      <c r="Q284" s="5">
        <v>127231.74</v>
      </c>
      <c r="S284" s="5">
        <v>66104.19</v>
      </c>
      <c r="T284" s="5">
        <v>5745</v>
      </c>
      <c r="U284" s="5">
        <v>95.8</v>
      </c>
      <c r="V284" s="5">
        <f t="shared" si="19"/>
        <v>0</v>
      </c>
    </row>
    <row r="285" spans="1:22">
      <c r="A285" s="5" t="s">
        <v>92</v>
      </c>
      <c r="B285" s="6">
        <v>45748</v>
      </c>
      <c r="C285" s="5" t="s">
        <v>24</v>
      </c>
      <c r="D285" s="5">
        <f t="shared" si="16"/>
        <v>0</v>
      </c>
      <c r="E285" s="5">
        <f t="shared" si="17"/>
        <v>1</v>
      </c>
      <c r="F285" s="5">
        <f t="shared" si="18"/>
        <v>0</v>
      </c>
      <c r="G285" s="5" t="s">
        <v>18</v>
      </c>
      <c r="H285" s="5">
        <v>18599.21</v>
      </c>
      <c r="I285" s="5">
        <v>3027</v>
      </c>
      <c r="J285" s="5">
        <v>0.122</v>
      </c>
      <c r="K285" s="5">
        <v>11</v>
      </c>
      <c r="L285" s="5">
        <v>80.900000000000006</v>
      </c>
      <c r="M285" s="5">
        <v>6.44</v>
      </c>
      <c r="N285" s="5">
        <v>0</v>
      </c>
      <c r="O285" s="5">
        <v>4.2</v>
      </c>
      <c r="P285" s="5">
        <v>497439.82</v>
      </c>
      <c r="Q285" s="5">
        <v>93372.75</v>
      </c>
      <c r="S285" s="5">
        <v>18599.21</v>
      </c>
      <c r="T285" s="5">
        <v>3027</v>
      </c>
      <c r="U285" s="5">
        <v>80.900000000000006</v>
      </c>
      <c r="V285" s="5">
        <f t="shared" si="19"/>
        <v>0</v>
      </c>
    </row>
    <row r="286" spans="1:22">
      <c r="A286" s="5" t="s">
        <v>93</v>
      </c>
      <c r="B286" s="6">
        <v>45658</v>
      </c>
      <c r="C286" s="5" t="s">
        <v>27</v>
      </c>
      <c r="D286" s="5">
        <f t="shared" si="16"/>
        <v>0</v>
      </c>
      <c r="E286" s="5">
        <f t="shared" si="17"/>
        <v>0</v>
      </c>
      <c r="F286" s="5">
        <f t="shared" si="18"/>
        <v>0</v>
      </c>
      <c r="G286" s="5" t="s">
        <v>16</v>
      </c>
      <c r="H286" s="5">
        <v>60183.06</v>
      </c>
      <c r="I286" s="5">
        <v>5562</v>
      </c>
      <c r="J286" s="5">
        <v>8.9999999999999993E-3</v>
      </c>
      <c r="K286" s="5">
        <v>13</v>
      </c>
      <c r="L286" s="5">
        <v>86.3</v>
      </c>
      <c r="M286" s="5">
        <v>0.2</v>
      </c>
      <c r="N286" s="5">
        <v>1</v>
      </c>
      <c r="O286" s="5">
        <v>4.5</v>
      </c>
      <c r="P286" s="5">
        <v>636775.66</v>
      </c>
      <c r="Q286" s="5">
        <v>122636.86</v>
      </c>
      <c r="S286" s="5">
        <v>60183.06</v>
      </c>
      <c r="T286" s="5">
        <v>5562</v>
      </c>
      <c r="U286" s="5">
        <v>86.3</v>
      </c>
      <c r="V286" s="5">
        <f t="shared" si="19"/>
        <v>0</v>
      </c>
    </row>
    <row r="287" spans="1:22">
      <c r="A287" s="5" t="s">
        <v>93</v>
      </c>
      <c r="B287" s="6">
        <v>45689</v>
      </c>
      <c r="C287" s="5" t="s">
        <v>27</v>
      </c>
      <c r="D287" s="5">
        <f t="shared" si="16"/>
        <v>0</v>
      </c>
      <c r="E287" s="5">
        <f t="shared" si="17"/>
        <v>0</v>
      </c>
      <c r="F287" s="5">
        <f t="shared" si="18"/>
        <v>0</v>
      </c>
      <c r="G287" s="5" t="s">
        <v>16</v>
      </c>
      <c r="H287" s="5">
        <v>74539.14</v>
      </c>
      <c r="I287" s="5">
        <v>4487</v>
      </c>
      <c r="J287" s="5">
        <v>0.14000000000000001</v>
      </c>
      <c r="K287" s="5">
        <v>10</v>
      </c>
      <c r="L287" s="5">
        <v>90.4</v>
      </c>
      <c r="M287" s="5">
        <v>0.59</v>
      </c>
      <c r="N287" s="5">
        <v>0</v>
      </c>
      <c r="O287" s="5">
        <v>4.5</v>
      </c>
      <c r="P287" s="5">
        <v>633009.53</v>
      </c>
      <c r="Q287" s="5">
        <v>123782.67</v>
      </c>
      <c r="S287" s="5">
        <v>74539.14</v>
      </c>
      <c r="T287" s="5">
        <v>4487</v>
      </c>
      <c r="U287" s="5">
        <v>90.4</v>
      </c>
      <c r="V287" s="5">
        <f t="shared" si="19"/>
        <v>0</v>
      </c>
    </row>
    <row r="288" spans="1:22">
      <c r="A288" s="5" t="s">
        <v>93</v>
      </c>
      <c r="B288" s="6">
        <v>45717</v>
      </c>
      <c r="C288" s="5" t="s">
        <v>27</v>
      </c>
      <c r="D288" s="5">
        <f t="shared" si="16"/>
        <v>0</v>
      </c>
      <c r="E288" s="5">
        <f t="shared" si="17"/>
        <v>0</v>
      </c>
      <c r="F288" s="5">
        <f t="shared" si="18"/>
        <v>0</v>
      </c>
      <c r="G288" s="5" t="s">
        <v>16</v>
      </c>
      <c r="H288" s="5">
        <v>55371.97</v>
      </c>
      <c r="I288" s="5">
        <v>4162</v>
      </c>
      <c r="J288" s="5">
        <v>0.183</v>
      </c>
      <c r="K288" s="5">
        <v>11</v>
      </c>
      <c r="L288" s="5">
        <v>92</v>
      </c>
      <c r="M288" s="5">
        <v>0.2</v>
      </c>
      <c r="N288" s="5">
        <v>1</v>
      </c>
      <c r="O288" s="5">
        <v>4.2</v>
      </c>
      <c r="P288" s="5">
        <v>609949</v>
      </c>
      <c r="Q288" s="5">
        <v>126789.25</v>
      </c>
      <c r="S288" s="5">
        <v>55371.97</v>
      </c>
      <c r="T288" s="5">
        <v>4162</v>
      </c>
      <c r="U288" s="5">
        <v>92</v>
      </c>
      <c r="V288" s="5">
        <f t="shared" si="19"/>
        <v>0</v>
      </c>
    </row>
    <row r="289" spans="1:22">
      <c r="A289" s="5" t="s">
        <v>93</v>
      </c>
      <c r="B289" s="6">
        <v>45748</v>
      </c>
      <c r="C289" s="5" t="s">
        <v>27</v>
      </c>
      <c r="D289" s="5">
        <f t="shared" si="16"/>
        <v>0</v>
      </c>
      <c r="E289" s="5">
        <f t="shared" si="17"/>
        <v>0</v>
      </c>
      <c r="F289" s="5">
        <f t="shared" si="18"/>
        <v>0</v>
      </c>
      <c r="G289" s="5" t="s">
        <v>16</v>
      </c>
      <c r="H289" s="5">
        <v>40928.69</v>
      </c>
      <c r="I289" s="5">
        <v>4094</v>
      </c>
      <c r="J289" s="5">
        <v>0.17399999999999999</v>
      </c>
      <c r="K289" s="5">
        <v>13</v>
      </c>
      <c r="L289" s="5">
        <v>82.4</v>
      </c>
      <c r="M289" s="5">
        <v>1.36</v>
      </c>
      <c r="N289" s="5">
        <v>0</v>
      </c>
      <c r="O289" s="5">
        <v>4.8</v>
      </c>
      <c r="P289" s="5">
        <v>548103.69999999995</v>
      </c>
      <c r="Q289" s="5">
        <v>99905.52</v>
      </c>
      <c r="S289" s="5">
        <v>40928.69</v>
      </c>
      <c r="T289" s="5">
        <v>4094</v>
      </c>
      <c r="U289" s="5">
        <v>82.4</v>
      </c>
      <c r="V289" s="5">
        <f t="shared" si="19"/>
        <v>0</v>
      </c>
    </row>
    <row r="290" spans="1:22">
      <c r="A290" s="5" t="s">
        <v>94</v>
      </c>
      <c r="B290" s="6">
        <v>45658</v>
      </c>
      <c r="C290" s="5" t="s">
        <v>15</v>
      </c>
      <c r="D290" s="5">
        <f t="shared" si="16"/>
        <v>0</v>
      </c>
      <c r="E290" s="5">
        <f t="shared" si="17"/>
        <v>0</v>
      </c>
      <c r="F290" s="5">
        <f t="shared" si="18"/>
        <v>1</v>
      </c>
      <c r="G290" s="5" t="s">
        <v>16</v>
      </c>
      <c r="H290" s="5">
        <v>70012.41</v>
      </c>
      <c r="I290" s="5">
        <v>8484</v>
      </c>
      <c r="J290" s="5">
        <v>0.27300000000000002</v>
      </c>
      <c r="K290" s="5">
        <v>23</v>
      </c>
      <c r="L290" s="5">
        <v>72.900000000000006</v>
      </c>
      <c r="M290" s="5">
        <v>3.34</v>
      </c>
      <c r="N290" s="5">
        <v>0</v>
      </c>
      <c r="O290" s="5">
        <v>3.7</v>
      </c>
      <c r="P290" s="5">
        <v>729424.42</v>
      </c>
      <c r="Q290" s="5">
        <v>75592.28</v>
      </c>
      <c r="S290" s="5">
        <v>70012.41</v>
      </c>
      <c r="T290" s="5">
        <v>8484</v>
      </c>
      <c r="U290" s="5">
        <v>72.900000000000006</v>
      </c>
      <c r="V290" s="5">
        <f t="shared" si="19"/>
        <v>0</v>
      </c>
    </row>
    <row r="291" spans="1:22">
      <c r="A291" s="5" t="s">
        <v>94</v>
      </c>
      <c r="B291" s="6">
        <v>45689</v>
      </c>
      <c r="C291" s="5" t="s">
        <v>15</v>
      </c>
      <c r="D291" s="5">
        <f t="shared" si="16"/>
        <v>0</v>
      </c>
      <c r="E291" s="5">
        <f t="shared" si="17"/>
        <v>0</v>
      </c>
      <c r="F291" s="5">
        <f t="shared" si="18"/>
        <v>1</v>
      </c>
      <c r="G291" s="5" t="s">
        <v>16</v>
      </c>
      <c r="H291" s="5">
        <v>68909.259999999995</v>
      </c>
      <c r="I291" s="5">
        <v>7794</v>
      </c>
      <c r="J291" s="5">
        <v>0.28399999999999997</v>
      </c>
      <c r="K291" s="5">
        <v>22</v>
      </c>
      <c r="L291" s="5">
        <v>89</v>
      </c>
      <c r="M291" s="5">
        <v>0.33</v>
      </c>
      <c r="N291" s="5">
        <v>0</v>
      </c>
      <c r="O291" s="5">
        <v>4</v>
      </c>
      <c r="P291" s="5">
        <v>696261.49</v>
      </c>
      <c r="Q291" s="5">
        <v>72455.350000000006</v>
      </c>
      <c r="S291" s="5">
        <v>68909.259999999995</v>
      </c>
      <c r="T291" s="5">
        <v>7794</v>
      </c>
      <c r="U291" s="5">
        <v>89</v>
      </c>
      <c r="V291" s="5">
        <f t="shared" si="19"/>
        <v>0</v>
      </c>
    </row>
    <row r="292" spans="1:22">
      <c r="A292" s="5" t="s">
        <v>94</v>
      </c>
      <c r="B292" s="6">
        <v>45717</v>
      </c>
      <c r="C292" s="5" t="s">
        <v>15</v>
      </c>
      <c r="D292" s="5">
        <f t="shared" si="16"/>
        <v>0</v>
      </c>
      <c r="E292" s="5">
        <f t="shared" si="17"/>
        <v>0</v>
      </c>
      <c r="F292" s="5">
        <f t="shared" si="18"/>
        <v>1</v>
      </c>
      <c r="G292" s="5" t="s">
        <v>16</v>
      </c>
      <c r="H292" s="5">
        <v>56737.3</v>
      </c>
      <c r="I292" s="5">
        <v>8300</v>
      </c>
      <c r="J292" s="5">
        <v>3.2000000000000001E-2</v>
      </c>
      <c r="K292" s="5">
        <v>21</v>
      </c>
      <c r="L292" s="5">
        <v>83.2</v>
      </c>
      <c r="M292" s="5">
        <v>3.44</v>
      </c>
      <c r="N292" s="5">
        <v>1</v>
      </c>
      <c r="O292" s="5">
        <v>4.3</v>
      </c>
      <c r="P292" s="5">
        <v>813316.71</v>
      </c>
      <c r="Q292" s="5">
        <v>110077.42</v>
      </c>
      <c r="S292" s="5">
        <v>56737.3</v>
      </c>
      <c r="T292" s="5">
        <v>8300</v>
      </c>
      <c r="U292" s="5">
        <v>83.2</v>
      </c>
      <c r="V292" s="5">
        <f t="shared" si="19"/>
        <v>0</v>
      </c>
    </row>
    <row r="293" spans="1:22">
      <c r="A293" s="5" t="s">
        <v>94</v>
      </c>
      <c r="B293" s="6">
        <v>45748</v>
      </c>
      <c r="C293" s="5" t="s">
        <v>15</v>
      </c>
      <c r="D293" s="5">
        <f t="shared" si="16"/>
        <v>0</v>
      </c>
      <c r="E293" s="5">
        <f t="shared" si="17"/>
        <v>0</v>
      </c>
      <c r="F293" s="5">
        <f t="shared" si="18"/>
        <v>1</v>
      </c>
      <c r="G293" s="5" t="s">
        <v>16</v>
      </c>
      <c r="H293" s="5">
        <v>54080.91</v>
      </c>
      <c r="I293" s="5">
        <v>7083</v>
      </c>
      <c r="J293" s="5">
        <v>0</v>
      </c>
      <c r="K293" s="5">
        <v>15</v>
      </c>
      <c r="L293" s="5">
        <v>97</v>
      </c>
      <c r="M293" s="5">
        <v>5.33</v>
      </c>
      <c r="N293" s="5">
        <v>0</v>
      </c>
      <c r="O293" s="5">
        <v>4.0999999999999996</v>
      </c>
      <c r="P293" s="5">
        <v>702068.92</v>
      </c>
      <c r="Q293" s="5">
        <v>111266.63</v>
      </c>
      <c r="S293" s="5">
        <v>54080.91</v>
      </c>
      <c r="T293" s="5">
        <v>7083</v>
      </c>
      <c r="U293" s="5">
        <v>97</v>
      </c>
      <c r="V293" s="5">
        <f t="shared" si="19"/>
        <v>0</v>
      </c>
    </row>
    <row r="294" spans="1:22">
      <c r="A294" s="5" t="s">
        <v>95</v>
      </c>
      <c r="B294" s="6">
        <v>45658</v>
      </c>
      <c r="C294" s="5" t="s">
        <v>27</v>
      </c>
      <c r="D294" s="5">
        <f t="shared" si="16"/>
        <v>0</v>
      </c>
      <c r="E294" s="5">
        <f t="shared" si="17"/>
        <v>0</v>
      </c>
      <c r="F294" s="5">
        <f t="shared" si="18"/>
        <v>0</v>
      </c>
      <c r="G294" s="5" t="s">
        <v>18</v>
      </c>
      <c r="H294" s="5">
        <v>51996.32</v>
      </c>
      <c r="I294" s="5">
        <v>3834</v>
      </c>
      <c r="J294" s="5">
        <v>9.6000000000000002E-2</v>
      </c>
      <c r="K294" s="5">
        <v>8</v>
      </c>
      <c r="L294" s="5">
        <v>86.7</v>
      </c>
      <c r="M294" s="5">
        <v>6.04</v>
      </c>
      <c r="N294" s="5">
        <v>0</v>
      </c>
      <c r="O294" s="5">
        <v>4.5</v>
      </c>
      <c r="P294" s="5">
        <v>546223.69999999995</v>
      </c>
      <c r="Q294" s="5">
        <v>100769.17</v>
      </c>
      <c r="S294" s="5">
        <v>51996.32</v>
      </c>
      <c r="T294" s="5">
        <v>3834</v>
      </c>
      <c r="U294" s="5">
        <v>86.7</v>
      </c>
      <c r="V294" s="5">
        <f t="shared" si="19"/>
        <v>0</v>
      </c>
    </row>
    <row r="295" spans="1:22">
      <c r="A295" s="5" t="s">
        <v>95</v>
      </c>
      <c r="B295" s="6">
        <v>45689</v>
      </c>
      <c r="C295" s="5" t="s">
        <v>27</v>
      </c>
      <c r="D295" s="5">
        <f t="shared" si="16"/>
        <v>0</v>
      </c>
      <c r="E295" s="5">
        <f t="shared" si="17"/>
        <v>0</v>
      </c>
      <c r="F295" s="5">
        <f t="shared" si="18"/>
        <v>0</v>
      </c>
      <c r="G295" s="5" t="s">
        <v>18</v>
      </c>
      <c r="H295" s="5">
        <v>40102.879999999997</v>
      </c>
      <c r="I295" s="5">
        <v>2358</v>
      </c>
      <c r="J295" s="5">
        <v>0.11899999999999999</v>
      </c>
      <c r="K295" s="5">
        <v>9</v>
      </c>
      <c r="L295" s="5">
        <v>88.7</v>
      </c>
      <c r="M295" s="5">
        <v>1.6</v>
      </c>
      <c r="N295" s="5">
        <v>0</v>
      </c>
      <c r="O295" s="5">
        <v>4.2</v>
      </c>
      <c r="P295" s="5">
        <v>533121.26</v>
      </c>
      <c r="Q295" s="5">
        <v>55063.39</v>
      </c>
      <c r="S295" s="5">
        <v>40102.879999999997</v>
      </c>
      <c r="T295" s="5">
        <v>2358</v>
      </c>
      <c r="U295" s="5">
        <v>88.7</v>
      </c>
      <c r="V295" s="5">
        <f t="shared" si="19"/>
        <v>0</v>
      </c>
    </row>
    <row r="296" spans="1:22">
      <c r="A296" s="5" t="s">
        <v>95</v>
      </c>
      <c r="B296" s="6">
        <v>45717</v>
      </c>
      <c r="C296" s="5" t="s">
        <v>27</v>
      </c>
      <c r="D296" s="5">
        <f t="shared" si="16"/>
        <v>0</v>
      </c>
      <c r="E296" s="5">
        <f t="shared" si="17"/>
        <v>0</v>
      </c>
      <c r="F296" s="5">
        <f t="shared" si="18"/>
        <v>0</v>
      </c>
      <c r="G296" s="5" t="s">
        <v>18</v>
      </c>
      <c r="H296" s="5">
        <v>59825.51</v>
      </c>
      <c r="I296" s="5">
        <v>1231</v>
      </c>
      <c r="J296" s="5">
        <v>0.214</v>
      </c>
      <c r="K296" s="5">
        <v>10</v>
      </c>
      <c r="L296" s="5">
        <v>84.8</v>
      </c>
      <c r="M296" s="5">
        <v>8.9600000000000009</v>
      </c>
      <c r="N296" s="5">
        <v>0</v>
      </c>
      <c r="O296" s="5">
        <v>4.7</v>
      </c>
      <c r="P296" s="5">
        <v>498970.32</v>
      </c>
      <c r="Q296" s="5">
        <v>69656.7</v>
      </c>
      <c r="S296" s="5">
        <v>59825.51</v>
      </c>
      <c r="T296" s="5">
        <v>1231</v>
      </c>
      <c r="U296" s="5">
        <v>84.8</v>
      </c>
      <c r="V296" s="5">
        <f t="shared" si="19"/>
        <v>0</v>
      </c>
    </row>
    <row r="297" spans="1:22">
      <c r="A297" s="5" t="s">
        <v>95</v>
      </c>
      <c r="B297" s="6">
        <v>45748</v>
      </c>
      <c r="C297" s="5" t="s">
        <v>27</v>
      </c>
      <c r="D297" s="5">
        <f t="shared" si="16"/>
        <v>0</v>
      </c>
      <c r="E297" s="5">
        <f t="shared" si="17"/>
        <v>0</v>
      </c>
      <c r="F297" s="5">
        <f t="shared" si="18"/>
        <v>0</v>
      </c>
      <c r="G297" s="5" t="s">
        <v>18</v>
      </c>
      <c r="H297" s="5">
        <v>27398.28</v>
      </c>
      <c r="I297" s="5">
        <v>1723</v>
      </c>
      <c r="J297" s="5">
        <v>0.17100000000000001</v>
      </c>
      <c r="K297" s="5">
        <v>9</v>
      </c>
      <c r="L297" s="5">
        <v>81</v>
      </c>
      <c r="M297" s="5">
        <v>0.74</v>
      </c>
      <c r="N297" s="5">
        <v>0</v>
      </c>
      <c r="O297" s="5">
        <v>4.5999999999999996</v>
      </c>
      <c r="P297" s="5">
        <v>487738.26</v>
      </c>
      <c r="Q297" s="5">
        <v>96435.6</v>
      </c>
      <c r="S297" s="5">
        <v>27398.28</v>
      </c>
      <c r="T297" s="5">
        <v>1723</v>
      </c>
      <c r="U297" s="5">
        <v>81</v>
      </c>
      <c r="V297" s="5">
        <f t="shared" si="19"/>
        <v>0</v>
      </c>
    </row>
    <row r="298" spans="1:22">
      <c r="A298" s="5" t="s">
        <v>96</v>
      </c>
      <c r="B298" s="6">
        <v>45658</v>
      </c>
      <c r="C298" s="5" t="s">
        <v>27</v>
      </c>
      <c r="D298" s="5">
        <f t="shared" si="16"/>
        <v>0</v>
      </c>
      <c r="E298" s="5">
        <f t="shared" si="17"/>
        <v>0</v>
      </c>
      <c r="F298" s="5">
        <f t="shared" si="18"/>
        <v>0</v>
      </c>
      <c r="G298" s="5" t="s">
        <v>18</v>
      </c>
      <c r="H298" s="5">
        <v>55599.56</v>
      </c>
      <c r="I298" s="5">
        <v>5896</v>
      </c>
      <c r="J298" s="5">
        <v>3.5999999999999997E-2</v>
      </c>
      <c r="K298" s="5">
        <v>12</v>
      </c>
      <c r="L298" s="5">
        <v>93.1</v>
      </c>
      <c r="M298" s="5">
        <v>6.13</v>
      </c>
      <c r="N298" s="5">
        <v>0</v>
      </c>
      <c r="O298" s="5">
        <v>3.3</v>
      </c>
      <c r="P298" s="5">
        <v>668459.37</v>
      </c>
      <c r="Q298" s="5">
        <v>126435.42</v>
      </c>
      <c r="S298" s="5">
        <v>55599.56</v>
      </c>
      <c r="T298" s="5">
        <v>5896</v>
      </c>
      <c r="U298" s="5">
        <v>93.1</v>
      </c>
      <c r="V298" s="5">
        <f t="shared" si="19"/>
        <v>0</v>
      </c>
    </row>
    <row r="299" spans="1:22">
      <c r="A299" s="5" t="s">
        <v>96</v>
      </c>
      <c r="B299" s="6">
        <v>45689</v>
      </c>
      <c r="C299" s="5" t="s">
        <v>27</v>
      </c>
      <c r="D299" s="5">
        <f t="shared" si="16"/>
        <v>0</v>
      </c>
      <c r="E299" s="5">
        <f t="shared" si="17"/>
        <v>0</v>
      </c>
      <c r="F299" s="5">
        <f t="shared" si="18"/>
        <v>0</v>
      </c>
      <c r="G299" s="5" t="s">
        <v>18</v>
      </c>
      <c r="H299" s="5">
        <v>55477.61</v>
      </c>
      <c r="I299" s="5">
        <v>5903</v>
      </c>
      <c r="J299" s="5">
        <v>0.10199999999999999</v>
      </c>
      <c r="K299" s="5">
        <v>14</v>
      </c>
      <c r="L299" s="5">
        <v>96.2</v>
      </c>
      <c r="M299" s="5">
        <v>1.41</v>
      </c>
      <c r="N299" s="5">
        <v>0</v>
      </c>
      <c r="O299" s="5">
        <v>3.3</v>
      </c>
      <c r="P299" s="5">
        <v>763162.45</v>
      </c>
      <c r="Q299" s="5">
        <v>162524.04999999999</v>
      </c>
      <c r="S299" s="5">
        <v>55477.61</v>
      </c>
      <c r="T299" s="5">
        <v>5903</v>
      </c>
      <c r="U299" s="5">
        <v>96.2</v>
      </c>
      <c r="V299" s="5">
        <f t="shared" si="19"/>
        <v>0</v>
      </c>
    </row>
    <row r="300" spans="1:22">
      <c r="A300" s="5" t="s">
        <v>96</v>
      </c>
      <c r="B300" s="6">
        <v>45717</v>
      </c>
      <c r="C300" s="5" t="s">
        <v>27</v>
      </c>
      <c r="D300" s="5">
        <f t="shared" si="16"/>
        <v>0</v>
      </c>
      <c r="E300" s="5">
        <f t="shared" si="17"/>
        <v>0</v>
      </c>
      <c r="F300" s="5">
        <f t="shared" si="18"/>
        <v>0</v>
      </c>
      <c r="G300" s="5" t="s">
        <v>18</v>
      </c>
      <c r="H300" s="5">
        <v>46174.7</v>
      </c>
      <c r="I300" s="5">
        <v>4898</v>
      </c>
      <c r="J300" s="5">
        <v>0.114</v>
      </c>
      <c r="K300" s="5">
        <v>11</v>
      </c>
      <c r="L300" s="5">
        <v>91.7</v>
      </c>
      <c r="M300" s="5">
        <v>3.75</v>
      </c>
      <c r="N300" s="5">
        <v>0</v>
      </c>
      <c r="O300" s="5">
        <v>3.1</v>
      </c>
      <c r="P300" s="5">
        <v>599017.32999999996</v>
      </c>
      <c r="Q300" s="5">
        <v>134009.92000000001</v>
      </c>
      <c r="S300" s="5">
        <v>46174.7</v>
      </c>
      <c r="T300" s="5">
        <v>4898</v>
      </c>
      <c r="U300" s="5">
        <v>91.7</v>
      </c>
      <c r="V300" s="5">
        <f t="shared" si="19"/>
        <v>0</v>
      </c>
    </row>
    <row r="301" spans="1:22">
      <c r="A301" s="5" t="s">
        <v>96</v>
      </c>
      <c r="B301" s="6">
        <v>45748</v>
      </c>
      <c r="C301" s="5" t="s">
        <v>27</v>
      </c>
      <c r="D301" s="5">
        <f t="shared" si="16"/>
        <v>0</v>
      </c>
      <c r="E301" s="5">
        <f t="shared" si="17"/>
        <v>0</v>
      </c>
      <c r="F301" s="5">
        <f t="shared" si="18"/>
        <v>0</v>
      </c>
      <c r="G301" s="5" t="s">
        <v>18</v>
      </c>
      <c r="H301" s="5">
        <v>24362.98</v>
      </c>
      <c r="I301" s="5">
        <v>1462</v>
      </c>
      <c r="J301" s="5">
        <v>0.11700000000000001</v>
      </c>
      <c r="K301" s="5">
        <v>6</v>
      </c>
      <c r="L301" s="5">
        <v>89.3</v>
      </c>
      <c r="M301" s="5">
        <v>15.06</v>
      </c>
      <c r="N301" s="5">
        <v>0</v>
      </c>
      <c r="O301" s="5">
        <v>3.2</v>
      </c>
      <c r="P301" s="5">
        <v>401582.58</v>
      </c>
      <c r="Q301" s="5">
        <v>68454.929999999993</v>
      </c>
      <c r="S301" s="5">
        <v>24362.98</v>
      </c>
      <c r="T301" s="5">
        <v>1462</v>
      </c>
      <c r="U301" s="5">
        <v>89.3</v>
      </c>
      <c r="V301" s="5">
        <f t="shared" si="19"/>
        <v>0</v>
      </c>
    </row>
    <row r="302" spans="1:22">
      <c r="A302" s="5" t="s">
        <v>97</v>
      </c>
      <c r="B302" s="6">
        <v>45658</v>
      </c>
      <c r="C302" s="5" t="s">
        <v>20</v>
      </c>
      <c r="D302" s="5">
        <f t="shared" si="16"/>
        <v>1</v>
      </c>
      <c r="E302" s="5">
        <f t="shared" si="17"/>
        <v>0</v>
      </c>
      <c r="F302" s="5">
        <f t="shared" si="18"/>
        <v>0</v>
      </c>
      <c r="G302" s="5" t="s">
        <v>28</v>
      </c>
      <c r="H302" s="5">
        <v>40647.67</v>
      </c>
      <c r="I302" s="5">
        <v>8252</v>
      </c>
      <c r="J302" s="5">
        <v>0.14099999999999999</v>
      </c>
      <c r="K302" s="5">
        <v>22</v>
      </c>
      <c r="L302" s="5">
        <v>88.2</v>
      </c>
      <c r="M302" s="5">
        <v>5.07</v>
      </c>
      <c r="N302" s="5">
        <v>1</v>
      </c>
      <c r="O302" s="5">
        <v>4.0999999999999996</v>
      </c>
      <c r="P302" s="5">
        <v>703812.99</v>
      </c>
      <c r="Q302" s="5">
        <v>133577.98000000001</v>
      </c>
      <c r="S302" s="5">
        <v>40647.67</v>
      </c>
      <c r="T302" s="5">
        <v>8252</v>
      </c>
      <c r="U302" s="5">
        <v>88.2</v>
      </c>
      <c r="V302" s="5">
        <f t="shared" si="19"/>
        <v>0</v>
      </c>
    </row>
    <row r="303" spans="1:22">
      <c r="A303" s="5" t="s">
        <v>97</v>
      </c>
      <c r="B303" s="6">
        <v>45689</v>
      </c>
      <c r="C303" s="5" t="s">
        <v>20</v>
      </c>
      <c r="D303" s="5">
        <f t="shared" si="16"/>
        <v>1</v>
      </c>
      <c r="E303" s="5">
        <f t="shared" si="17"/>
        <v>0</v>
      </c>
      <c r="F303" s="5">
        <f t="shared" si="18"/>
        <v>0</v>
      </c>
      <c r="G303" s="5" t="s">
        <v>28</v>
      </c>
      <c r="H303" s="5">
        <v>63986.98</v>
      </c>
      <c r="I303" s="5">
        <v>7989</v>
      </c>
      <c r="J303" s="5">
        <v>7.3999999999999996E-2</v>
      </c>
      <c r="K303" s="5">
        <v>20</v>
      </c>
      <c r="L303" s="5">
        <v>83.3</v>
      </c>
      <c r="M303" s="5">
        <v>3.6</v>
      </c>
      <c r="N303" s="5">
        <v>0</v>
      </c>
      <c r="O303" s="5">
        <v>3.7</v>
      </c>
      <c r="P303" s="5">
        <v>724346.73</v>
      </c>
      <c r="Q303" s="5">
        <v>155013.91</v>
      </c>
      <c r="S303" s="5">
        <v>63986.98</v>
      </c>
      <c r="T303" s="5">
        <v>7989</v>
      </c>
      <c r="U303" s="5">
        <v>83.3</v>
      </c>
      <c r="V303" s="5">
        <f t="shared" si="19"/>
        <v>0</v>
      </c>
    </row>
    <row r="304" spans="1:22">
      <c r="A304" s="5" t="s">
        <v>97</v>
      </c>
      <c r="B304" s="6">
        <v>45717</v>
      </c>
      <c r="C304" s="5" t="s">
        <v>20</v>
      </c>
      <c r="D304" s="5">
        <f t="shared" si="16"/>
        <v>1</v>
      </c>
      <c r="E304" s="5">
        <f t="shared" si="17"/>
        <v>0</v>
      </c>
      <c r="F304" s="5">
        <f t="shared" si="18"/>
        <v>0</v>
      </c>
      <c r="G304" s="5" t="s">
        <v>28</v>
      </c>
      <c r="H304" s="5">
        <v>52843.75</v>
      </c>
      <c r="I304" s="5">
        <v>8268</v>
      </c>
      <c r="J304" s="5">
        <v>0.13800000000000001</v>
      </c>
      <c r="K304" s="5">
        <v>19</v>
      </c>
      <c r="L304" s="5">
        <v>87.3</v>
      </c>
      <c r="M304" s="5">
        <v>4.3899999999999997</v>
      </c>
      <c r="N304" s="5">
        <v>1</v>
      </c>
      <c r="O304" s="5">
        <v>4.7</v>
      </c>
      <c r="P304" s="5">
        <v>730890.01</v>
      </c>
      <c r="Q304" s="5">
        <v>105502.56</v>
      </c>
      <c r="S304" s="5">
        <v>52843.75</v>
      </c>
      <c r="T304" s="5">
        <v>8268</v>
      </c>
      <c r="U304" s="5">
        <v>87.3</v>
      </c>
      <c r="V304" s="5">
        <f t="shared" si="19"/>
        <v>0</v>
      </c>
    </row>
    <row r="305" spans="1:22">
      <c r="A305" s="5" t="s">
        <v>97</v>
      </c>
      <c r="B305" s="6">
        <v>45748</v>
      </c>
      <c r="C305" s="5" t="s">
        <v>20</v>
      </c>
      <c r="D305" s="5">
        <f t="shared" si="16"/>
        <v>1</v>
      </c>
      <c r="E305" s="5">
        <f t="shared" si="17"/>
        <v>0</v>
      </c>
      <c r="F305" s="5">
        <f t="shared" si="18"/>
        <v>0</v>
      </c>
      <c r="G305" s="5" t="s">
        <v>28</v>
      </c>
      <c r="H305" s="5">
        <v>31997.25</v>
      </c>
      <c r="I305" s="5">
        <v>8183</v>
      </c>
      <c r="J305" s="5">
        <v>0.19800000000000001</v>
      </c>
      <c r="K305" s="5">
        <v>18</v>
      </c>
      <c r="L305" s="5">
        <v>93</v>
      </c>
      <c r="M305" s="5">
        <v>2.79</v>
      </c>
      <c r="N305" s="5">
        <v>0</v>
      </c>
      <c r="O305" s="5">
        <v>4.2</v>
      </c>
      <c r="P305" s="5">
        <v>780580.95</v>
      </c>
      <c r="Q305" s="5">
        <v>138144.46</v>
      </c>
      <c r="S305" s="5">
        <v>31997.25</v>
      </c>
      <c r="T305" s="5">
        <v>8183</v>
      </c>
      <c r="U305" s="5">
        <v>93</v>
      </c>
      <c r="V305" s="5">
        <f t="shared" si="19"/>
        <v>0</v>
      </c>
    </row>
    <row r="306" spans="1:22">
      <c r="A306" s="5" t="s">
        <v>98</v>
      </c>
      <c r="B306" s="6">
        <v>45658</v>
      </c>
      <c r="C306" s="5" t="s">
        <v>24</v>
      </c>
      <c r="D306" s="5">
        <f t="shared" si="16"/>
        <v>0</v>
      </c>
      <c r="E306" s="5">
        <f t="shared" si="17"/>
        <v>1</v>
      </c>
      <c r="F306" s="5">
        <f t="shared" si="18"/>
        <v>0</v>
      </c>
      <c r="G306" s="5" t="s">
        <v>16</v>
      </c>
      <c r="H306" s="5">
        <v>54948.02</v>
      </c>
      <c r="I306" s="5">
        <v>6534</v>
      </c>
      <c r="J306" s="5">
        <v>0.183</v>
      </c>
      <c r="K306" s="5">
        <v>14</v>
      </c>
      <c r="L306" s="5">
        <v>94.5</v>
      </c>
      <c r="M306" s="5">
        <v>1.56</v>
      </c>
      <c r="N306" s="5">
        <v>0</v>
      </c>
      <c r="O306" s="5">
        <v>4</v>
      </c>
      <c r="P306" s="5">
        <v>727957.48</v>
      </c>
      <c r="Q306" s="5">
        <v>74805.23</v>
      </c>
      <c r="S306" s="5">
        <v>54948.02</v>
      </c>
      <c r="T306" s="5">
        <v>6534</v>
      </c>
      <c r="U306" s="5">
        <v>94.5</v>
      </c>
      <c r="V306" s="5">
        <f t="shared" si="19"/>
        <v>0</v>
      </c>
    </row>
    <row r="307" spans="1:22">
      <c r="A307" s="5" t="s">
        <v>98</v>
      </c>
      <c r="B307" s="6">
        <v>45689</v>
      </c>
      <c r="C307" s="5" t="s">
        <v>24</v>
      </c>
      <c r="D307" s="5">
        <f t="shared" si="16"/>
        <v>0</v>
      </c>
      <c r="E307" s="5">
        <f t="shared" si="17"/>
        <v>1</v>
      </c>
      <c r="F307" s="5">
        <f t="shared" si="18"/>
        <v>0</v>
      </c>
      <c r="G307" s="5" t="s">
        <v>16</v>
      </c>
      <c r="H307" s="5">
        <v>46146.239999999998</v>
      </c>
      <c r="I307" s="5">
        <v>5804</v>
      </c>
      <c r="J307" s="5">
        <v>4.7E-2</v>
      </c>
      <c r="K307" s="5">
        <v>16</v>
      </c>
      <c r="L307" s="5">
        <v>86.9</v>
      </c>
      <c r="M307" s="5">
        <v>15.82</v>
      </c>
      <c r="N307" s="5">
        <v>0</v>
      </c>
      <c r="O307" s="5">
        <v>3.8</v>
      </c>
      <c r="P307" s="5">
        <v>538376</v>
      </c>
      <c r="Q307" s="5">
        <v>87605.62</v>
      </c>
      <c r="S307" s="5">
        <v>46146.239999999998</v>
      </c>
      <c r="T307" s="5">
        <v>5804</v>
      </c>
      <c r="U307" s="5">
        <v>86.9</v>
      </c>
      <c r="V307" s="5">
        <f t="shared" si="19"/>
        <v>0</v>
      </c>
    </row>
    <row r="308" spans="1:22">
      <c r="A308" s="5" t="s">
        <v>98</v>
      </c>
      <c r="B308" s="6">
        <v>45717</v>
      </c>
      <c r="C308" s="5" t="s">
        <v>24</v>
      </c>
      <c r="D308" s="5">
        <f t="shared" si="16"/>
        <v>0</v>
      </c>
      <c r="E308" s="5">
        <f t="shared" si="17"/>
        <v>1</v>
      </c>
      <c r="F308" s="5">
        <f t="shared" si="18"/>
        <v>0</v>
      </c>
      <c r="G308" s="5" t="s">
        <v>16</v>
      </c>
      <c r="H308" s="5">
        <v>22387.26</v>
      </c>
      <c r="I308" s="5">
        <v>6301</v>
      </c>
      <c r="J308" s="5">
        <v>0.14599999999999999</v>
      </c>
      <c r="K308" s="5">
        <v>14</v>
      </c>
      <c r="L308" s="5">
        <v>85.9</v>
      </c>
      <c r="M308" s="5">
        <v>1.17</v>
      </c>
      <c r="N308" s="5">
        <v>1</v>
      </c>
      <c r="O308" s="5">
        <v>3.7</v>
      </c>
      <c r="P308" s="5">
        <v>665342.49</v>
      </c>
      <c r="Q308" s="5">
        <v>93441.81</v>
      </c>
      <c r="S308" s="5">
        <v>22387.26</v>
      </c>
      <c r="T308" s="5">
        <v>6301</v>
      </c>
      <c r="U308" s="5">
        <v>85.9</v>
      </c>
      <c r="V308" s="5">
        <f t="shared" si="19"/>
        <v>0</v>
      </c>
    </row>
    <row r="309" spans="1:22">
      <c r="A309" s="5" t="s">
        <v>98</v>
      </c>
      <c r="B309" s="6">
        <v>45748</v>
      </c>
      <c r="C309" s="5" t="s">
        <v>24</v>
      </c>
      <c r="D309" s="5">
        <f t="shared" si="16"/>
        <v>0</v>
      </c>
      <c r="E309" s="5">
        <f t="shared" si="17"/>
        <v>1</v>
      </c>
      <c r="F309" s="5">
        <f t="shared" si="18"/>
        <v>0</v>
      </c>
      <c r="G309" s="5" t="s">
        <v>16</v>
      </c>
      <c r="H309" s="5">
        <v>60684.05</v>
      </c>
      <c r="I309" s="5">
        <v>6399</v>
      </c>
      <c r="J309" s="5">
        <v>7.4999999999999997E-2</v>
      </c>
      <c r="K309" s="5">
        <v>16</v>
      </c>
      <c r="L309" s="5">
        <v>99</v>
      </c>
      <c r="M309" s="5">
        <v>3.82</v>
      </c>
      <c r="N309" s="5">
        <v>0</v>
      </c>
      <c r="O309" s="5">
        <v>3.5</v>
      </c>
      <c r="P309" s="5">
        <v>651164.18000000005</v>
      </c>
      <c r="Q309" s="5">
        <v>109466.5</v>
      </c>
      <c r="S309" s="5">
        <v>60684.05</v>
      </c>
      <c r="T309" s="5">
        <v>6399</v>
      </c>
      <c r="U309" s="5">
        <v>99</v>
      </c>
      <c r="V309" s="5">
        <f t="shared" si="19"/>
        <v>0</v>
      </c>
    </row>
    <row r="310" spans="1:22">
      <c r="A310" s="5" t="s">
        <v>99</v>
      </c>
      <c r="B310" s="6">
        <v>45658</v>
      </c>
      <c r="C310" s="5" t="s">
        <v>24</v>
      </c>
      <c r="D310" s="5">
        <f t="shared" si="16"/>
        <v>0</v>
      </c>
      <c r="E310" s="5">
        <f t="shared" si="17"/>
        <v>1</v>
      </c>
      <c r="F310" s="5">
        <f t="shared" si="18"/>
        <v>0</v>
      </c>
      <c r="G310" s="5" t="s">
        <v>18</v>
      </c>
      <c r="H310" s="5">
        <v>48465.599999999999</v>
      </c>
      <c r="I310" s="5">
        <v>5759</v>
      </c>
      <c r="J310" s="5">
        <v>0.154</v>
      </c>
      <c r="K310" s="5">
        <v>13</v>
      </c>
      <c r="L310" s="5">
        <v>87.5</v>
      </c>
      <c r="M310" s="5">
        <v>4.1399999999999997</v>
      </c>
      <c r="N310" s="5">
        <v>0</v>
      </c>
      <c r="O310" s="5">
        <v>4</v>
      </c>
      <c r="P310" s="5">
        <v>628538.30000000005</v>
      </c>
      <c r="Q310" s="5">
        <v>112509.15</v>
      </c>
      <c r="S310" s="5">
        <v>48465.599999999999</v>
      </c>
      <c r="T310" s="5">
        <v>5759</v>
      </c>
      <c r="U310" s="5">
        <v>87.5</v>
      </c>
      <c r="V310" s="5">
        <f t="shared" si="19"/>
        <v>0</v>
      </c>
    </row>
    <row r="311" spans="1:22">
      <c r="A311" s="5" t="s">
        <v>99</v>
      </c>
      <c r="B311" s="6">
        <v>45689</v>
      </c>
      <c r="C311" s="5" t="s">
        <v>24</v>
      </c>
      <c r="D311" s="5">
        <f t="shared" si="16"/>
        <v>0</v>
      </c>
      <c r="E311" s="5">
        <f t="shared" si="17"/>
        <v>1</v>
      </c>
      <c r="F311" s="5">
        <f t="shared" si="18"/>
        <v>0</v>
      </c>
      <c r="G311" s="5" t="s">
        <v>18</v>
      </c>
      <c r="H311" s="5">
        <v>23702.38</v>
      </c>
      <c r="I311" s="5">
        <v>5285</v>
      </c>
      <c r="J311" s="5">
        <v>0.16700000000000001</v>
      </c>
      <c r="K311" s="5">
        <v>14</v>
      </c>
      <c r="L311" s="5">
        <v>79.7</v>
      </c>
      <c r="M311" s="5">
        <v>1.1000000000000001</v>
      </c>
      <c r="N311" s="5">
        <v>0</v>
      </c>
      <c r="O311" s="5">
        <v>4.3</v>
      </c>
      <c r="P311" s="5">
        <v>536524.84</v>
      </c>
      <c r="Q311" s="5">
        <v>92752.94</v>
      </c>
      <c r="S311" s="5">
        <v>23702.38</v>
      </c>
      <c r="T311" s="5">
        <v>5285</v>
      </c>
      <c r="U311" s="5">
        <v>79.7</v>
      </c>
      <c r="V311" s="5">
        <f t="shared" si="19"/>
        <v>0</v>
      </c>
    </row>
    <row r="312" spans="1:22">
      <c r="A312" s="5" t="s">
        <v>99</v>
      </c>
      <c r="B312" s="6">
        <v>45717</v>
      </c>
      <c r="C312" s="5" t="s">
        <v>24</v>
      </c>
      <c r="D312" s="5">
        <f t="shared" si="16"/>
        <v>0</v>
      </c>
      <c r="E312" s="5">
        <f t="shared" si="17"/>
        <v>1</v>
      </c>
      <c r="F312" s="5">
        <f t="shared" si="18"/>
        <v>0</v>
      </c>
      <c r="G312" s="5" t="s">
        <v>18</v>
      </c>
      <c r="H312" s="5">
        <v>54322.94</v>
      </c>
      <c r="I312" s="5">
        <v>5434</v>
      </c>
      <c r="J312" s="5">
        <v>0.2</v>
      </c>
      <c r="K312" s="5">
        <v>13</v>
      </c>
      <c r="L312" s="5">
        <v>85.7</v>
      </c>
      <c r="M312" s="5">
        <v>10.6</v>
      </c>
      <c r="N312" s="5">
        <v>0</v>
      </c>
      <c r="O312" s="5">
        <v>4.2</v>
      </c>
      <c r="P312" s="5">
        <v>621677.30000000005</v>
      </c>
      <c r="Q312" s="5">
        <v>105192.52</v>
      </c>
      <c r="S312" s="5">
        <v>54322.94</v>
      </c>
      <c r="T312" s="5">
        <v>5434</v>
      </c>
      <c r="U312" s="5">
        <v>85.7</v>
      </c>
      <c r="V312" s="5">
        <f t="shared" si="19"/>
        <v>0</v>
      </c>
    </row>
    <row r="313" spans="1:22">
      <c r="A313" s="5" t="s">
        <v>99</v>
      </c>
      <c r="B313" s="6">
        <v>45748</v>
      </c>
      <c r="C313" s="5" t="s">
        <v>24</v>
      </c>
      <c r="D313" s="5">
        <f t="shared" si="16"/>
        <v>0</v>
      </c>
      <c r="E313" s="5">
        <f t="shared" si="17"/>
        <v>1</v>
      </c>
      <c r="F313" s="5">
        <f t="shared" si="18"/>
        <v>0</v>
      </c>
      <c r="G313" s="5" t="s">
        <v>18</v>
      </c>
      <c r="H313" s="5">
        <v>86026.58</v>
      </c>
      <c r="I313" s="5">
        <v>7479</v>
      </c>
      <c r="J313" s="5">
        <v>0.14199999999999999</v>
      </c>
      <c r="K313" s="5">
        <v>20</v>
      </c>
      <c r="L313" s="5">
        <v>89</v>
      </c>
      <c r="M313" s="5">
        <v>0.9</v>
      </c>
      <c r="N313" s="5">
        <v>0</v>
      </c>
      <c r="O313" s="5"/>
      <c r="P313" s="5">
        <v>771129.07</v>
      </c>
      <c r="Q313" s="5">
        <v>116851.13</v>
      </c>
      <c r="S313" s="5">
        <v>86026.58</v>
      </c>
      <c r="T313" s="5">
        <v>7479</v>
      </c>
      <c r="U313" s="5">
        <v>89</v>
      </c>
      <c r="V313" s="5">
        <f t="shared" si="19"/>
        <v>0</v>
      </c>
    </row>
    <row r="314" spans="1:22">
      <c r="A314" s="5" t="s">
        <v>100</v>
      </c>
      <c r="B314" s="6">
        <v>45658</v>
      </c>
      <c r="C314" s="5" t="s">
        <v>20</v>
      </c>
      <c r="D314" s="5">
        <f t="shared" si="16"/>
        <v>1</v>
      </c>
      <c r="E314" s="5">
        <f t="shared" si="17"/>
        <v>0</v>
      </c>
      <c r="F314" s="5">
        <f t="shared" si="18"/>
        <v>0</v>
      </c>
      <c r="G314" s="5" t="s">
        <v>16</v>
      </c>
      <c r="H314" s="5">
        <v>78967.520000000004</v>
      </c>
      <c r="I314" s="5">
        <v>6164</v>
      </c>
      <c r="J314" s="5">
        <v>2.1000000000000001E-2</v>
      </c>
      <c r="K314" s="5">
        <v>16</v>
      </c>
      <c r="L314" s="5">
        <v>85.5</v>
      </c>
      <c r="M314" s="5">
        <v>0.2</v>
      </c>
      <c r="N314" s="5">
        <v>0</v>
      </c>
      <c r="O314" s="5">
        <v>3.4</v>
      </c>
      <c r="P314" s="5">
        <v>702052.47</v>
      </c>
      <c r="Q314" s="5">
        <v>121732.51</v>
      </c>
      <c r="S314" s="5">
        <v>78967.520000000004</v>
      </c>
      <c r="T314" s="5">
        <v>6164</v>
      </c>
      <c r="U314" s="5">
        <v>85.5</v>
      </c>
      <c r="V314" s="5">
        <f t="shared" si="19"/>
        <v>0</v>
      </c>
    </row>
    <row r="315" spans="1:22">
      <c r="A315" s="5" t="s">
        <v>100</v>
      </c>
      <c r="B315" s="6">
        <v>45689</v>
      </c>
      <c r="C315" s="5" t="s">
        <v>20</v>
      </c>
      <c r="D315" s="5">
        <f t="shared" si="16"/>
        <v>1</v>
      </c>
      <c r="E315" s="5">
        <f t="shared" si="17"/>
        <v>0</v>
      </c>
      <c r="F315" s="5">
        <f t="shared" si="18"/>
        <v>0</v>
      </c>
      <c r="G315" s="5" t="s">
        <v>16</v>
      </c>
      <c r="H315" s="5">
        <v>46767.99</v>
      </c>
      <c r="I315" s="5">
        <v>7973</v>
      </c>
      <c r="J315" s="5">
        <v>0.183</v>
      </c>
      <c r="K315" s="5">
        <v>18</v>
      </c>
      <c r="L315" s="5">
        <v>94.8</v>
      </c>
      <c r="M315" s="5">
        <v>4.67</v>
      </c>
      <c r="N315" s="5">
        <v>0</v>
      </c>
      <c r="O315" s="5"/>
      <c r="P315" s="5">
        <v>688368.46</v>
      </c>
      <c r="Q315" s="5">
        <v>93588.42</v>
      </c>
      <c r="S315" s="5">
        <v>46767.99</v>
      </c>
      <c r="T315" s="5">
        <v>7973</v>
      </c>
      <c r="U315" s="5">
        <v>94.8</v>
      </c>
      <c r="V315" s="5">
        <f t="shared" si="19"/>
        <v>0</v>
      </c>
    </row>
    <row r="316" spans="1:22">
      <c r="A316" s="5" t="s">
        <v>100</v>
      </c>
      <c r="B316" s="6">
        <v>45717</v>
      </c>
      <c r="C316" s="5" t="s">
        <v>20</v>
      </c>
      <c r="D316" s="5">
        <f t="shared" si="16"/>
        <v>1</v>
      </c>
      <c r="E316" s="5">
        <f t="shared" si="17"/>
        <v>0</v>
      </c>
      <c r="F316" s="5">
        <f t="shared" si="18"/>
        <v>0</v>
      </c>
      <c r="G316" s="5" t="s">
        <v>16</v>
      </c>
      <c r="H316" s="5">
        <v>62507.16</v>
      </c>
      <c r="I316" s="5">
        <v>6000</v>
      </c>
      <c r="J316" s="5">
        <v>9.0999999999999998E-2</v>
      </c>
      <c r="K316" s="5">
        <v>14</v>
      </c>
      <c r="L316" s="5">
        <v>98.2</v>
      </c>
      <c r="M316" s="5">
        <v>4.38</v>
      </c>
      <c r="N316" s="5">
        <v>1</v>
      </c>
      <c r="O316" s="5">
        <v>3.9</v>
      </c>
      <c r="P316" s="5">
        <v>712375.77</v>
      </c>
      <c r="Q316" s="5">
        <v>104171.53</v>
      </c>
      <c r="S316" s="5">
        <v>62507.16</v>
      </c>
      <c r="T316" s="5">
        <v>6000</v>
      </c>
      <c r="U316" s="5">
        <v>98.2</v>
      </c>
      <c r="V316" s="5">
        <f t="shared" si="19"/>
        <v>0</v>
      </c>
    </row>
    <row r="317" spans="1:22">
      <c r="A317" s="5" t="s">
        <v>100</v>
      </c>
      <c r="B317" s="6">
        <v>45748</v>
      </c>
      <c r="C317" s="5" t="s">
        <v>20</v>
      </c>
      <c r="D317" s="5">
        <f t="shared" si="16"/>
        <v>1</v>
      </c>
      <c r="E317" s="5">
        <f t="shared" si="17"/>
        <v>0</v>
      </c>
      <c r="F317" s="5">
        <f t="shared" si="18"/>
        <v>0</v>
      </c>
      <c r="G317" s="5" t="s">
        <v>16</v>
      </c>
      <c r="H317" s="5">
        <v>66456.28</v>
      </c>
      <c r="I317" s="5">
        <v>9967</v>
      </c>
      <c r="J317" s="5">
        <v>0.108</v>
      </c>
      <c r="K317" s="5">
        <v>20</v>
      </c>
      <c r="L317" s="5">
        <v>94.7</v>
      </c>
      <c r="M317" s="5">
        <v>4.4800000000000004</v>
      </c>
      <c r="N317" s="5">
        <v>0</v>
      </c>
      <c r="O317" s="5">
        <v>4.2</v>
      </c>
      <c r="P317" s="5">
        <v>844710.67</v>
      </c>
      <c r="Q317" s="5">
        <v>137140.18</v>
      </c>
      <c r="S317" s="5">
        <v>66456.28</v>
      </c>
      <c r="T317" s="5">
        <v>9967</v>
      </c>
      <c r="U317" s="5">
        <v>94.7</v>
      </c>
      <c r="V317" s="5">
        <f t="shared" si="19"/>
        <v>0</v>
      </c>
    </row>
    <row r="318" spans="1:22">
      <c r="A318" s="5" t="s">
        <v>101</v>
      </c>
      <c r="B318" s="6">
        <v>45658</v>
      </c>
      <c r="C318" s="5" t="s">
        <v>15</v>
      </c>
      <c r="D318" s="5">
        <f t="shared" si="16"/>
        <v>0</v>
      </c>
      <c r="E318" s="5">
        <f t="shared" si="17"/>
        <v>0</v>
      </c>
      <c r="F318" s="5">
        <f t="shared" si="18"/>
        <v>1</v>
      </c>
      <c r="G318" s="5" t="s">
        <v>16</v>
      </c>
      <c r="H318" s="5">
        <v>76614.320000000007</v>
      </c>
      <c r="I318" s="5">
        <v>5639</v>
      </c>
      <c r="J318" s="5">
        <v>0.17399999999999999</v>
      </c>
      <c r="K318" s="5">
        <v>15</v>
      </c>
      <c r="L318" s="5">
        <v>92.9</v>
      </c>
      <c r="M318" s="5">
        <v>1.02</v>
      </c>
      <c r="N318" s="5">
        <v>1</v>
      </c>
      <c r="O318" s="5">
        <v>4</v>
      </c>
      <c r="P318" s="5">
        <v>620264.19999999995</v>
      </c>
      <c r="Q318" s="5">
        <v>91365.64</v>
      </c>
      <c r="S318" s="5">
        <v>76614.320000000007</v>
      </c>
      <c r="T318" s="5">
        <v>5639</v>
      </c>
      <c r="U318" s="5">
        <v>92.9</v>
      </c>
      <c r="V318" s="5">
        <f t="shared" si="19"/>
        <v>0</v>
      </c>
    </row>
    <row r="319" spans="1:22">
      <c r="A319" s="5" t="s">
        <v>101</v>
      </c>
      <c r="B319" s="6">
        <v>45689</v>
      </c>
      <c r="C319" s="5" t="s">
        <v>15</v>
      </c>
      <c r="D319" s="5">
        <f t="shared" si="16"/>
        <v>0</v>
      </c>
      <c r="E319" s="5">
        <f t="shared" si="17"/>
        <v>0</v>
      </c>
      <c r="F319" s="5">
        <f t="shared" si="18"/>
        <v>1</v>
      </c>
      <c r="G319" s="5" t="s">
        <v>16</v>
      </c>
      <c r="H319" s="5">
        <v>24088.06</v>
      </c>
      <c r="I319" s="5">
        <v>3466</v>
      </c>
      <c r="J319" s="5">
        <v>0</v>
      </c>
      <c r="K319" s="5">
        <v>11</v>
      </c>
      <c r="L319" s="5">
        <v>88</v>
      </c>
      <c r="M319" s="5">
        <v>0.2</v>
      </c>
      <c r="N319" s="5">
        <v>0</v>
      </c>
      <c r="O319" s="5">
        <v>3.8</v>
      </c>
      <c r="P319" s="5">
        <v>536845.42000000004</v>
      </c>
      <c r="Q319" s="5">
        <v>107473.75</v>
      </c>
      <c r="S319" s="5">
        <v>24088.06</v>
      </c>
      <c r="T319" s="5">
        <v>3466</v>
      </c>
      <c r="U319" s="5">
        <v>88</v>
      </c>
      <c r="V319" s="5">
        <f t="shared" si="19"/>
        <v>0</v>
      </c>
    </row>
    <row r="320" spans="1:22">
      <c r="A320" s="5" t="s">
        <v>101</v>
      </c>
      <c r="B320" s="6">
        <v>45717</v>
      </c>
      <c r="C320" s="5" t="s">
        <v>15</v>
      </c>
      <c r="D320" s="5">
        <f t="shared" si="16"/>
        <v>0</v>
      </c>
      <c r="E320" s="5">
        <f t="shared" si="17"/>
        <v>0</v>
      </c>
      <c r="F320" s="5">
        <f t="shared" si="18"/>
        <v>1</v>
      </c>
      <c r="G320" s="5" t="s">
        <v>16</v>
      </c>
      <c r="H320" s="5">
        <v>81902.58</v>
      </c>
      <c r="I320" s="5">
        <v>7775</v>
      </c>
      <c r="J320" s="5">
        <v>0.215</v>
      </c>
      <c r="K320" s="5">
        <v>20</v>
      </c>
      <c r="L320" s="5">
        <v>85.2</v>
      </c>
      <c r="M320" s="5">
        <v>4.8899999999999997</v>
      </c>
      <c r="N320" s="5">
        <v>1</v>
      </c>
      <c r="O320" s="5">
        <v>4.2</v>
      </c>
      <c r="P320" s="5">
        <v>726776.22</v>
      </c>
      <c r="Q320" s="5">
        <v>90804.49</v>
      </c>
      <c r="S320" s="5">
        <v>81902.58</v>
      </c>
      <c r="T320" s="5">
        <v>7775</v>
      </c>
      <c r="U320" s="5">
        <v>85.2</v>
      </c>
      <c r="V320" s="5">
        <f t="shared" si="19"/>
        <v>0</v>
      </c>
    </row>
    <row r="321" spans="1:22">
      <c r="A321" s="5" t="s">
        <v>101</v>
      </c>
      <c r="B321" s="6">
        <v>45748</v>
      </c>
      <c r="C321" s="5" t="s">
        <v>15</v>
      </c>
      <c r="D321" s="5">
        <f t="shared" si="16"/>
        <v>0</v>
      </c>
      <c r="E321" s="5">
        <f t="shared" si="17"/>
        <v>0</v>
      </c>
      <c r="F321" s="5">
        <f t="shared" si="18"/>
        <v>1</v>
      </c>
      <c r="G321" s="5" t="s">
        <v>16</v>
      </c>
      <c r="H321" s="5">
        <v>40553.11</v>
      </c>
      <c r="I321" s="5">
        <v>5317</v>
      </c>
      <c r="J321" s="5">
        <v>0.16500000000000001</v>
      </c>
      <c r="K321" s="5">
        <v>17</v>
      </c>
      <c r="L321" s="5">
        <v>84.3</v>
      </c>
      <c r="M321" s="5">
        <v>11.82</v>
      </c>
      <c r="N321" s="5">
        <v>0</v>
      </c>
      <c r="O321" s="5">
        <v>4.0999999999999996</v>
      </c>
      <c r="P321" s="5">
        <v>559660.84</v>
      </c>
      <c r="Q321" s="5">
        <v>71443.61</v>
      </c>
      <c r="S321" s="5">
        <v>40553.11</v>
      </c>
      <c r="T321" s="5">
        <v>5317</v>
      </c>
      <c r="U321" s="5">
        <v>84.3</v>
      </c>
      <c r="V321" s="5">
        <f t="shared" si="19"/>
        <v>0</v>
      </c>
    </row>
    <row r="322" spans="1:22">
      <c r="D322" s="5"/>
    </row>
    <row r="323" spans="1:22">
      <c r="D323" s="5"/>
    </row>
    <row r="324" spans="1:22">
      <c r="D324" s="5"/>
    </row>
    <row r="325" spans="1:22">
      <c r="D325" s="5"/>
    </row>
    <row r="326" spans="1:22">
      <c r="D326" s="5"/>
    </row>
    <row r="327" spans="1:22">
      <c r="D327" s="5"/>
    </row>
    <row r="328" spans="1:22">
      <c r="D328" s="5"/>
    </row>
    <row r="329" spans="1:22">
      <c r="D329" s="5"/>
    </row>
    <row r="330" spans="1:22">
      <c r="D330" s="5"/>
    </row>
    <row r="331" spans="1:22">
      <c r="D331" s="5"/>
    </row>
    <row r="332" spans="1:22">
      <c r="D332" s="5"/>
    </row>
    <row r="333" spans="1:22">
      <c r="D333" s="5"/>
    </row>
    <row r="334" spans="1:22">
      <c r="D334" s="5"/>
    </row>
    <row r="335" spans="1:22">
      <c r="D335" s="5"/>
    </row>
    <row r="336" spans="1:22">
      <c r="D336" s="5"/>
    </row>
    <row r="337" spans="4:4">
      <c r="D337" s="5"/>
    </row>
    <row r="338" spans="4:4">
      <c r="D338" s="5"/>
    </row>
    <row r="339" spans="4:4">
      <c r="D339" s="5"/>
    </row>
    <row r="340" spans="4:4">
      <c r="D340" s="5"/>
    </row>
    <row r="341" spans="4:4">
      <c r="D341" s="5"/>
    </row>
    <row r="342" spans="4:4">
      <c r="D342" s="5"/>
    </row>
    <row r="343" spans="4:4">
      <c r="D343" s="5"/>
    </row>
    <row r="344" spans="4:4">
      <c r="D344" s="5"/>
    </row>
    <row r="345" spans="4:4">
      <c r="D345" s="5"/>
    </row>
    <row r="346" spans="4:4">
      <c r="D346" s="5"/>
    </row>
    <row r="347" spans="4:4">
      <c r="D347" s="5"/>
    </row>
    <row r="348" spans="4:4">
      <c r="D348" s="5"/>
    </row>
    <row r="349" spans="4:4">
      <c r="D349" s="5"/>
    </row>
    <row r="350" spans="4:4">
      <c r="D350" s="5"/>
    </row>
    <row r="351" spans="4:4">
      <c r="D351" s="5"/>
    </row>
    <row r="352" spans="4:4">
      <c r="D352" s="5"/>
    </row>
    <row r="353" spans="4:4">
      <c r="D353" s="5"/>
    </row>
    <row r="354" spans="4:4">
      <c r="D354" s="5"/>
    </row>
    <row r="355" spans="4:4">
      <c r="D355" s="5"/>
    </row>
    <row r="356" spans="4:4">
      <c r="D356" s="5"/>
    </row>
    <row r="357" spans="4:4">
      <c r="D357" s="5"/>
    </row>
    <row r="358" spans="4:4">
      <c r="D358" s="5"/>
    </row>
    <row r="359" spans="4:4">
      <c r="D359" s="5"/>
    </row>
    <row r="360" spans="4:4">
      <c r="D360" s="5"/>
    </row>
    <row r="361" spans="4:4">
      <c r="D361" s="5"/>
    </row>
    <row r="362" spans="4:4">
      <c r="D362" s="5"/>
    </row>
    <row r="363" spans="4:4">
      <c r="D363" s="5"/>
    </row>
    <row r="364" spans="4:4">
      <c r="D364" s="5"/>
    </row>
    <row r="365" spans="4:4">
      <c r="D365" s="5"/>
    </row>
    <row r="366" spans="4:4">
      <c r="D366" s="5"/>
    </row>
    <row r="367" spans="4:4">
      <c r="D367" s="5"/>
    </row>
    <row r="368" spans="4:4">
      <c r="D368" s="5"/>
    </row>
    <row r="369" spans="4:4">
      <c r="D369" s="5"/>
    </row>
    <row r="370" spans="4:4">
      <c r="D370" s="5"/>
    </row>
    <row r="371" spans="4:4">
      <c r="D371" s="5"/>
    </row>
    <row r="372" spans="4:4">
      <c r="D372" s="5"/>
    </row>
    <row r="373" spans="4:4">
      <c r="D373" s="5"/>
    </row>
    <row r="374" spans="4:4">
      <c r="D374" s="5"/>
    </row>
    <row r="375" spans="4:4">
      <c r="D375" s="5"/>
    </row>
    <row r="376" spans="4:4">
      <c r="D376" s="5"/>
    </row>
    <row r="377" spans="4:4">
      <c r="D377" s="5"/>
    </row>
    <row r="378" spans="4:4">
      <c r="D378" s="5"/>
    </row>
    <row r="379" spans="4:4">
      <c r="D379" s="5"/>
    </row>
    <row r="380" spans="4:4">
      <c r="D380" s="5"/>
    </row>
    <row r="381" spans="4:4">
      <c r="D381" s="5"/>
    </row>
    <row r="382" spans="4:4">
      <c r="D382" s="5"/>
    </row>
    <row r="383" spans="4:4">
      <c r="D383" s="5"/>
    </row>
    <row r="384" spans="4:4">
      <c r="D384" s="5"/>
    </row>
    <row r="385" spans="4:4">
      <c r="D385" s="5"/>
    </row>
    <row r="386" spans="4:4">
      <c r="D386" s="5"/>
    </row>
    <row r="387" spans="4:4">
      <c r="D387" s="5"/>
    </row>
    <row r="388" spans="4:4">
      <c r="D388" s="5"/>
    </row>
    <row r="389" spans="4:4">
      <c r="D389" s="5"/>
    </row>
    <row r="390" spans="4:4">
      <c r="D390" s="5"/>
    </row>
    <row r="391" spans="4:4">
      <c r="D391" s="5"/>
    </row>
    <row r="392" spans="4:4">
      <c r="D392" s="5"/>
    </row>
    <row r="393" spans="4:4">
      <c r="D393" s="5"/>
    </row>
    <row r="394" spans="4:4">
      <c r="D394" s="5"/>
    </row>
    <row r="395" spans="4:4">
      <c r="D395" s="5"/>
    </row>
    <row r="396" spans="4:4">
      <c r="D396" s="5"/>
    </row>
    <row r="397" spans="4:4">
      <c r="D397" s="5"/>
    </row>
    <row r="398" spans="4:4">
      <c r="D398" s="5"/>
    </row>
    <row r="399" spans="4:4">
      <c r="D399" s="5"/>
    </row>
    <row r="400" spans="4:4">
      <c r="D400" s="5"/>
    </row>
    <row r="401" spans="4:4">
      <c r="D401" s="5"/>
    </row>
    <row r="402" spans="4:4">
      <c r="D402" s="5"/>
    </row>
    <row r="403" spans="4:4">
      <c r="D403" s="5"/>
    </row>
    <row r="404" spans="4:4">
      <c r="D404" s="5"/>
    </row>
    <row r="405" spans="4:4">
      <c r="D405" s="5"/>
    </row>
    <row r="406" spans="4:4">
      <c r="D406" s="5"/>
    </row>
    <row r="407" spans="4:4">
      <c r="D407" s="5"/>
    </row>
    <row r="408" spans="4:4">
      <c r="D408" s="5"/>
    </row>
    <row r="409" spans="4:4">
      <c r="D409" s="5"/>
    </row>
    <row r="410" spans="4:4">
      <c r="D410" s="5"/>
    </row>
    <row r="411" spans="4:4">
      <c r="D411" s="5"/>
    </row>
    <row r="412" spans="4:4">
      <c r="D412" s="5"/>
    </row>
    <row r="413" spans="4:4">
      <c r="D413" s="5"/>
    </row>
    <row r="414" spans="4:4">
      <c r="D414" s="5"/>
    </row>
    <row r="415" spans="4:4">
      <c r="D415" s="5"/>
    </row>
    <row r="416" spans="4:4">
      <c r="D416" s="5"/>
    </row>
    <row r="417" spans="4:4">
      <c r="D417" s="5"/>
    </row>
    <row r="418" spans="4:4">
      <c r="D418" s="5"/>
    </row>
    <row r="419" spans="4:4">
      <c r="D419" s="5"/>
    </row>
    <row r="420" spans="4:4">
      <c r="D420" s="5"/>
    </row>
    <row r="421" spans="4:4">
      <c r="D421" s="5"/>
    </row>
    <row r="422" spans="4:4">
      <c r="D422" s="5"/>
    </row>
    <row r="423" spans="4:4">
      <c r="D423" s="5"/>
    </row>
    <row r="424" spans="4:4">
      <c r="D424" s="5"/>
    </row>
    <row r="425" spans="4:4">
      <c r="D425" s="5"/>
    </row>
    <row r="426" spans="4:4">
      <c r="D426" s="5"/>
    </row>
    <row r="427" spans="4:4">
      <c r="D427" s="5"/>
    </row>
    <row r="428" spans="4:4">
      <c r="D428" s="5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8"/>
  <sheetViews>
    <sheetView tabSelected="1" workbookViewId="0">
      <selection activeCell="K12" sqref="K12"/>
    </sheetView>
  </sheetViews>
  <sheetFormatPr defaultRowHeight="15"/>
  <sheetData>
    <row r="1" spans="1:9" ht="60">
      <c r="A1" s="4" t="s">
        <v>0</v>
      </c>
      <c r="B1" s="4" t="s">
        <v>1</v>
      </c>
      <c r="C1" s="4" t="s">
        <v>12</v>
      </c>
      <c r="D1" s="4" t="s">
        <v>4</v>
      </c>
      <c r="E1" s="4" t="s">
        <v>5</v>
      </c>
      <c r="F1" s="4" t="s">
        <v>8</v>
      </c>
      <c r="G1" s="7" t="s">
        <v>102</v>
      </c>
      <c r="H1" s="7" t="s">
        <v>129</v>
      </c>
      <c r="I1" s="7" t="s">
        <v>114</v>
      </c>
    </row>
    <row r="2" spans="1:9">
      <c r="A2" s="5" t="s">
        <v>19</v>
      </c>
      <c r="B2" s="6">
        <v>45658</v>
      </c>
      <c r="C2" s="5">
        <v>930581.7</v>
      </c>
      <c r="D2" s="5">
        <v>71838.86</v>
      </c>
      <c r="E2" s="5">
        <v>10979</v>
      </c>
      <c r="F2" s="5">
        <v>88.6</v>
      </c>
      <c r="G2" s="5">
        <f>IF(F2="North",1,0)</f>
        <v>0</v>
      </c>
      <c r="H2">
        <f>-80484.1+(0.194328*D2)+(6.391292*E2)+(1576.133*F2)+(0*G2)</f>
        <v>143291.58065407997</v>
      </c>
      <c r="I2">
        <f>C2-H2</f>
        <v>787290.11934591993</v>
      </c>
    </row>
    <row r="3" spans="1:9">
      <c r="A3" s="5" t="s">
        <v>74</v>
      </c>
      <c r="B3" s="6">
        <v>45717</v>
      </c>
      <c r="C3" s="5">
        <v>946833.54</v>
      </c>
      <c r="D3" s="5">
        <v>107970.19</v>
      </c>
      <c r="E3" s="5">
        <v>12870</v>
      </c>
      <c r="F3" s="5">
        <v>91.7</v>
      </c>
      <c r="G3" s="5">
        <f>IF(F3="North",1,0)</f>
        <v>0</v>
      </c>
      <c r="H3">
        <f>-80484.1+(0.194328*D3)+(6.391292*E3)+(1576.133*F3)+(0*G3)</f>
        <v>167284.85522232001</v>
      </c>
      <c r="I3">
        <f>C3-H3</f>
        <v>779548.68477768009</v>
      </c>
    </row>
    <row r="4" spans="1:9">
      <c r="A4" s="5" t="s">
        <v>22</v>
      </c>
      <c r="B4" s="6">
        <v>45658</v>
      </c>
      <c r="C4" s="5">
        <v>922168.6</v>
      </c>
      <c r="D4" s="5">
        <v>71828.259999999995</v>
      </c>
      <c r="E4" s="5">
        <v>12775</v>
      </c>
      <c r="F4" s="5">
        <v>81.7</v>
      </c>
      <c r="G4" s="5">
        <f>IF(F4="North",1,0)</f>
        <v>0</v>
      </c>
      <c r="H4">
        <f>-80484.1+(0.194328*D4)+(6.391292*E4)+(1576.133*F4)+(0*G4)</f>
        <v>143892.96350928</v>
      </c>
      <c r="I4">
        <f>C4-H4</f>
        <v>778275.63649071997</v>
      </c>
    </row>
    <row r="5" spans="1:9">
      <c r="A5" s="5" t="s">
        <v>53</v>
      </c>
      <c r="B5" s="6">
        <v>45658</v>
      </c>
      <c r="C5" s="5">
        <v>914544.17</v>
      </c>
      <c r="D5" s="5">
        <v>61541.21</v>
      </c>
      <c r="E5" s="5">
        <v>10396</v>
      </c>
      <c r="F5" s="5">
        <v>88.1</v>
      </c>
      <c r="G5" s="5">
        <f>IF(F5="North",1,0)</f>
        <v>0</v>
      </c>
      <c r="H5">
        <f>-80484.1+(0.194328*D5)+(6.391292*E5)+(1576.133*F5)+(0*G5)</f>
        <v>136776.26918887999</v>
      </c>
      <c r="I5">
        <f>C5-H5</f>
        <v>777767.90081112005</v>
      </c>
    </row>
    <row r="6" spans="1:9">
      <c r="A6" s="5" t="s">
        <v>19</v>
      </c>
      <c r="B6" s="6">
        <v>45748</v>
      </c>
      <c r="C6" s="5">
        <v>910791.94</v>
      </c>
      <c r="D6" s="5">
        <v>67979.88</v>
      </c>
      <c r="E6" s="5">
        <v>11230</v>
      </c>
      <c r="F6" s="5">
        <v>85.3</v>
      </c>
      <c r="G6" s="5">
        <f>IF(F6="North",1,0)</f>
        <v>0</v>
      </c>
      <c r="H6">
        <f>-80484.1+(0.194328*D6)+(6.391292*E6)+(1576.133*F6)+(0*G6)</f>
        <v>138944.64818063998</v>
      </c>
      <c r="I6">
        <f>C6-H6</f>
        <v>771847.29181935999</v>
      </c>
    </row>
    <row r="7" spans="1:9">
      <c r="A7" s="5" t="s">
        <v>66</v>
      </c>
      <c r="B7" s="6">
        <v>45748</v>
      </c>
      <c r="C7" s="5">
        <v>898031.04</v>
      </c>
      <c r="D7" s="5">
        <v>74881.56</v>
      </c>
      <c r="E7" s="5">
        <v>9999</v>
      </c>
      <c r="F7" s="5">
        <v>89.6</v>
      </c>
      <c r="G7" s="5">
        <f>IF(F7="North",1,0)</f>
        <v>0</v>
      </c>
      <c r="H7">
        <f>-80484.1+(0.194328*D7)+(6.391292*E7)+(1576.133*F7)+(0*G7)</f>
        <v>139195.52929967997</v>
      </c>
      <c r="I7">
        <f>C7-H7</f>
        <v>758835.51070032013</v>
      </c>
    </row>
    <row r="8" spans="1:9">
      <c r="A8" s="5" t="s">
        <v>66</v>
      </c>
      <c r="B8" s="6">
        <v>45658</v>
      </c>
      <c r="C8" s="5">
        <v>887537.75</v>
      </c>
      <c r="D8" s="5">
        <v>67494.09</v>
      </c>
      <c r="E8" s="5">
        <v>12361</v>
      </c>
      <c r="F8" s="5">
        <v>76.599999999999994</v>
      </c>
      <c r="G8" s="5">
        <f>IF(F8="North",1,0)</f>
        <v>0</v>
      </c>
      <c r="H8">
        <f>-80484.1+(0.194328*D8)+(6.391292*E8)+(1576.133*F8)+(0*G8)</f>
        <v>132366.43973351998</v>
      </c>
      <c r="I8">
        <f>C8-H8</f>
        <v>755171.31026648008</v>
      </c>
    </row>
    <row r="9" spans="1:9">
      <c r="A9" s="5" t="s">
        <v>79</v>
      </c>
      <c r="B9" s="6">
        <v>45689</v>
      </c>
      <c r="C9" s="5">
        <v>870937.4</v>
      </c>
      <c r="D9" s="5">
        <v>113736</v>
      </c>
      <c r="E9" s="5">
        <v>8961</v>
      </c>
      <c r="F9" s="5">
        <v>86.2</v>
      </c>
      <c r="G9" s="5">
        <f>IF(F9="North",1,0)</f>
        <v>0</v>
      </c>
      <c r="H9">
        <f>-80484.1+(0.194328*D9)+(6.391292*E9)+(1576.133*F9)+(0*G9)</f>
        <v>134753.02162000001</v>
      </c>
      <c r="I9">
        <f>C9-H9</f>
        <v>736184.37838000001</v>
      </c>
    </row>
    <row r="10" spans="1:9">
      <c r="A10" s="5" t="s">
        <v>50</v>
      </c>
      <c r="B10" s="6">
        <v>45689</v>
      </c>
      <c r="C10" s="5">
        <v>873380.02</v>
      </c>
      <c r="D10" s="5">
        <v>80176.34</v>
      </c>
      <c r="E10" s="5">
        <v>9489</v>
      </c>
      <c r="F10" s="5">
        <v>94.3</v>
      </c>
      <c r="G10" s="5">
        <f>IF(F10="North",1,0)</f>
        <v>0</v>
      </c>
      <c r="H10">
        <f>-80484.1+(0.194328*D10)+(6.391292*E10)+(1576.133*F10)+(0*G10)</f>
        <v>144372.71948751999</v>
      </c>
      <c r="I10">
        <f>C10-H10</f>
        <v>729007.30051248008</v>
      </c>
    </row>
    <row r="11" spans="1:9">
      <c r="A11" s="5" t="s">
        <v>86</v>
      </c>
      <c r="B11" s="6">
        <v>45658</v>
      </c>
      <c r="C11" s="5">
        <v>840108.12</v>
      </c>
      <c r="D11" s="5">
        <v>65272.58</v>
      </c>
      <c r="E11" s="5">
        <v>8165</v>
      </c>
      <c r="F11" s="5">
        <v>87.8</v>
      </c>
      <c r="G11" s="5">
        <f>IF(F11="North",1,0)</f>
        <v>0</v>
      </c>
      <c r="H11">
        <f>-80484.1+(0.194328*D11)+(6.391292*E11)+(1576.133*F11)+(0*G11)</f>
        <v>122769.56650623999</v>
      </c>
      <c r="I11">
        <f>C11-H11</f>
        <v>717338.55349376006</v>
      </c>
    </row>
    <row r="12" spans="1:9">
      <c r="A12" s="5" t="s">
        <v>17</v>
      </c>
      <c r="B12" s="6">
        <v>45748</v>
      </c>
      <c r="C12" s="5">
        <v>850164.26</v>
      </c>
      <c r="D12" s="5">
        <v>68148.52</v>
      </c>
      <c r="E12" s="5">
        <v>8567</v>
      </c>
      <c r="F12" s="5">
        <v>95.6</v>
      </c>
      <c r="G12" s="5">
        <f>IF(F12="North",1,0)</f>
        <v>0</v>
      </c>
      <c r="H12">
        <f>-80484.1+(0.194328*D12)+(6.391292*E12)+(1576.133*F12)+(0*G12)</f>
        <v>138191.57895855999</v>
      </c>
      <c r="I12">
        <f>C12-H12</f>
        <v>711972.68104144</v>
      </c>
    </row>
    <row r="13" spans="1:9">
      <c r="A13" s="5" t="s">
        <v>53</v>
      </c>
      <c r="B13" s="6">
        <v>45717</v>
      </c>
      <c r="C13" s="5">
        <v>842157.92</v>
      </c>
      <c r="D13" s="5">
        <v>56517.9</v>
      </c>
      <c r="E13" s="5">
        <v>9574</v>
      </c>
      <c r="F13" s="5">
        <v>88.2</v>
      </c>
      <c r="G13" s="5">
        <f>IF(F13="North",1,0)</f>
        <v>0</v>
      </c>
      <c r="H13">
        <f>-80484.1+(0.194328*D13)+(6.391292*E13)+(1576.133*F13)+(0*G13)</f>
        <v>130704.07067920003</v>
      </c>
      <c r="I13">
        <f>C13-H13</f>
        <v>711453.84932080004</v>
      </c>
    </row>
    <row r="14" spans="1:9">
      <c r="A14" s="5" t="s">
        <v>67</v>
      </c>
      <c r="B14" s="6">
        <v>45658</v>
      </c>
      <c r="C14" s="5">
        <v>855341.28</v>
      </c>
      <c r="D14" s="5">
        <v>68491.11</v>
      </c>
      <c r="E14" s="5">
        <v>11154</v>
      </c>
      <c r="F14" s="5">
        <v>89.4</v>
      </c>
      <c r="G14" s="5">
        <f>IF(F14="North",1,0)</f>
        <v>0</v>
      </c>
      <c r="H14">
        <f>-80484.1+(0.194328*D14)+(6.391292*E14)+(1576.133*F14)+(0*G14)</f>
        <v>145020.40159208002</v>
      </c>
      <c r="I14">
        <f>C14-H14</f>
        <v>710320.87840792001</v>
      </c>
    </row>
    <row r="15" spans="1:9">
      <c r="A15" s="5" t="s">
        <v>54</v>
      </c>
      <c r="B15" s="6">
        <v>45658</v>
      </c>
      <c r="C15" s="5">
        <v>849018.3</v>
      </c>
      <c r="D15" s="5">
        <v>66250.53</v>
      </c>
      <c r="E15" s="5">
        <v>10618</v>
      </c>
      <c r="F15" s="5">
        <v>88.3</v>
      </c>
      <c r="G15" s="5">
        <f>IF(F15="North",1,0)</f>
        <v>0</v>
      </c>
      <c r="H15">
        <f>-80484.1+(0.194328*D15)+(6.391292*E15)+(1576.133*F15)+(0*G15)</f>
        <v>139425.51534983999</v>
      </c>
      <c r="I15">
        <f>C15-H15</f>
        <v>709592.78465016</v>
      </c>
    </row>
    <row r="16" spans="1:9">
      <c r="A16" s="5" t="s">
        <v>22</v>
      </c>
      <c r="B16" s="6">
        <v>45748</v>
      </c>
      <c r="C16" s="5">
        <v>834017.02</v>
      </c>
      <c r="D16" s="5">
        <v>75305.710000000006</v>
      </c>
      <c r="E16" s="5">
        <v>10940</v>
      </c>
      <c r="F16" s="5">
        <v>76.5</v>
      </c>
      <c r="G16" s="5">
        <f>IF(F16="North",1,0)</f>
        <v>0</v>
      </c>
      <c r="H16">
        <f>-80484.1+(0.194328*D16)+(6.391292*E16)+(1576.133*F16)+(0*G16)</f>
        <v>124644.81699288001</v>
      </c>
      <c r="I16">
        <f>C16-H16</f>
        <v>709372.20300712006</v>
      </c>
    </row>
    <row r="17" spans="1:9">
      <c r="A17" s="5" t="s">
        <v>45</v>
      </c>
      <c r="B17" s="6">
        <v>45717</v>
      </c>
      <c r="C17" s="5">
        <v>838250.32</v>
      </c>
      <c r="D17" s="5">
        <v>86421.88</v>
      </c>
      <c r="E17" s="5">
        <v>7970</v>
      </c>
      <c r="F17" s="5">
        <v>91.3</v>
      </c>
      <c r="G17" s="5">
        <f>IF(F17="North",1,0)</f>
        <v>0</v>
      </c>
      <c r="H17">
        <f>-80484.1+(0.194328*D17)+(6.391292*E17)+(1576.133*F17)+(0*G17)</f>
        <v>131149.63123663998</v>
      </c>
      <c r="I17">
        <f>C17-H17</f>
        <v>707100.68876336003</v>
      </c>
    </row>
    <row r="18" spans="1:9">
      <c r="A18" s="5" t="s">
        <v>51</v>
      </c>
      <c r="B18" s="6">
        <v>45689</v>
      </c>
      <c r="C18" s="5">
        <v>820519.04</v>
      </c>
      <c r="D18" s="5">
        <v>57360.01</v>
      </c>
      <c r="E18" s="5">
        <v>8434</v>
      </c>
      <c r="F18" s="5">
        <v>84.1</v>
      </c>
      <c r="G18" s="5">
        <f>IF(F18="North",1,0)</f>
        <v>0</v>
      </c>
      <c r="H18">
        <f>-80484.1+(0.194328*D18)+(6.391292*E18)+(1576.133*F18)+(0*G18)</f>
        <v>117119.49805127998</v>
      </c>
      <c r="I18">
        <f>C18-H18</f>
        <v>703399.54194872011</v>
      </c>
    </row>
    <row r="19" spans="1:9">
      <c r="A19" s="5" t="s">
        <v>63</v>
      </c>
      <c r="B19" s="6">
        <v>45658</v>
      </c>
      <c r="C19" s="5">
        <v>825797.91</v>
      </c>
      <c r="D19" s="5">
        <v>72150.53</v>
      </c>
      <c r="E19" s="5">
        <v>9323</v>
      </c>
      <c r="F19" s="5">
        <v>82.9</v>
      </c>
      <c r="G19" s="5">
        <f>IF(F19="North",1,0)</f>
        <v>0</v>
      </c>
      <c r="H19">
        <f>-80484.1+(0.194328*D19)+(6.391292*E19)+(1576.133*F19)+(0*G19)</f>
        <v>123784.20920983999</v>
      </c>
      <c r="I19">
        <f>C19-H19</f>
        <v>702013.7007901601</v>
      </c>
    </row>
    <row r="20" spans="1:9">
      <c r="A20" s="5" t="s">
        <v>100</v>
      </c>
      <c r="B20" s="6">
        <v>45748</v>
      </c>
      <c r="C20" s="5">
        <v>844710.67</v>
      </c>
      <c r="D20" s="5">
        <v>66456.28</v>
      </c>
      <c r="E20" s="5">
        <v>9967</v>
      </c>
      <c r="F20" s="5">
        <v>94.7</v>
      </c>
      <c r="G20" s="5">
        <f>IF(F20="North",1,0)</f>
        <v>0</v>
      </c>
      <c r="H20">
        <f>-80484.1+(0.194328*D20)+(6.391292*E20)+(1576.133*F20)+(0*G20)</f>
        <v>145392.01844384</v>
      </c>
      <c r="I20">
        <f>C20-H20</f>
        <v>699318.65155616007</v>
      </c>
    </row>
    <row r="21" spans="1:9">
      <c r="A21" s="5" t="s">
        <v>31</v>
      </c>
      <c r="B21" s="6">
        <v>45658</v>
      </c>
      <c r="C21" s="5">
        <v>820593.93</v>
      </c>
      <c r="D21" s="5">
        <v>75269.87</v>
      </c>
      <c r="E21" s="5">
        <v>8838</v>
      </c>
      <c r="F21" s="5">
        <v>83.1</v>
      </c>
      <c r="G21" s="5">
        <f>IF(F21="North",1,0)</f>
        <v>0</v>
      </c>
      <c r="H21">
        <f>-80484.1+(0.194328*D21)+(6.391292*E21)+(1576.133*F21)+(0*G21)</f>
        <v>121605.83429335998</v>
      </c>
      <c r="I21">
        <f>C21-H21</f>
        <v>698988.09570664004</v>
      </c>
    </row>
    <row r="22" spans="1:9">
      <c r="A22" s="5" t="s">
        <v>94</v>
      </c>
      <c r="B22" s="6">
        <v>45717</v>
      </c>
      <c r="C22" s="5">
        <v>813316.71</v>
      </c>
      <c r="D22" s="5">
        <v>56737.3</v>
      </c>
      <c r="E22" s="5">
        <v>8300</v>
      </c>
      <c r="F22" s="5">
        <v>83.2</v>
      </c>
      <c r="G22" s="5">
        <f>IF(F22="North",1,0)</f>
        <v>0</v>
      </c>
      <c r="H22">
        <f>-80484.1+(0.194328*D22)+(6.391292*E22)+(1576.133*F22)+(0*G22)</f>
        <v>114723.53523440001</v>
      </c>
      <c r="I22">
        <f>C22-H22</f>
        <v>698593.17476559989</v>
      </c>
    </row>
    <row r="23" spans="1:9">
      <c r="A23" s="5" t="s">
        <v>75</v>
      </c>
      <c r="B23" s="6">
        <v>45748</v>
      </c>
      <c r="C23" s="5">
        <v>836908.24</v>
      </c>
      <c r="D23" s="5">
        <v>47391.09</v>
      </c>
      <c r="E23" s="5">
        <v>11224</v>
      </c>
      <c r="F23" s="5">
        <v>88.4</v>
      </c>
      <c r="G23" s="5">
        <f>IF(F23="North",1,0)</f>
        <v>0</v>
      </c>
      <c r="H23">
        <f>-80484.1+(0.194328*D23)+(6.391292*E23)+(1576.133*F23)+(0*G23)</f>
        <v>139791.33434552001</v>
      </c>
      <c r="I23">
        <f>C23-H23</f>
        <v>697116.90565447998</v>
      </c>
    </row>
    <row r="24" spans="1:9">
      <c r="A24" s="5" t="s">
        <v>82</v>
      </c>
      <c r="B24" s="6">
        <v>45717</v>
      </c>
      <c r="C24" s="5">
        <v>828219.67</v>
      </c>
      <c r="D24" s="5">
        <v>70799.64</v>
      </c>
      <c r="E24" s="5">
        <v>10076</v>
      </c>
      <c r="F24" s="5">
        <v>84.8</v>
      </c>
      <c r="G24" s="5">
        <f>IF(F24="North",1,0)</f>
        <v>0</v>
      </c>
      <c r="H24">
        <f>-80484.1+(0.194328*D24)+(6.391292*E24)+(1576.133*F24)+(0*G24)</f>
        <v>131328.98903391999</v>
      </c>
      <c r="I24">
        <f>C24-H24</f>
        <v>696890.68096608005</v>
      </c>
    </row>
    <row r="25" spans="1:9">
      <c r="A25" s="5" t="s">
        <v>53</v>
      </c>
      <c r="B25" s="6">
        <v>45689</v>
      </c>
      <c r="C25" s="5">
        <v>842439.67</v>
      </c>
      <c r="D25" s="5">
        <v>44747</v>
      </c>
      <c r="E25" s="5">
        <v>11076</v>
      </c>
      <c r="F25" s="5">
        <v>98.3</v>
      </c>
      <c r="G25" s="5">
        <f>IF(F25="North",1,0)</f>
        <v>0</v>
      </c>
      <c r="H25">
        <f>-80484.1+(0.194328*D25)+(6.391292*E25)+(1576.133*F25)+(0*G25)</f>
        <v>153935.31910800003</v>
      </c>
      <c r="I25">
        <f>C25-H25</f>
        <v>688504.35089200002</v>
      </c>
    </row>
    <row r="26" spans="1:9">
      <c r="A26" s="5" t="s">
        <v>63</v>
      </c>
      <c r="B26" s="6">
        <v>45748</v>
      </c>
      <c r="C26" s="5">
        <v>820729.29</v>
      </c>
      <c r="D26" s="5">
        <v>78432.14</v>
      </c>
      <c r="E26" s="5">
        <v>9440</v>
      </c>
      <c r="F26" s="5">
        <v>89.2</v>
      </c>
      <c r="G26" s="5">
        <f>IF(F26="North",1,0)</f>
        <v>0</v>
      </c>
      <c r="H26">
        <f>-80484.1+(0.194328*D26)+(6.391292*E26)+(1576.133*F26)+(0*G26)</f>
        <v>135682.32098192</v>
      </c>
      <c r="I26">
        <f>C26-H26</f>
        <v>685046.96901808004</v>
      </c>
    </row>
    <row r="27" spans="1:9">
      <c r="A27" s="5" t="s">
        <v>85</v>
      </c>
      <c r="B27" s="6">
        <v>45689</v>
      </c>
      <c r="C27" s="5">
        <v>799046.94</v>
      </c>
      <c r="D27" s="5">
        <v>63582.11</v>
      </c>
      <c r="E27" s="5">
        <v>6856</v>
      </c>
      <c r="F27" s="5">
        <v>89.5</v>
      </c>
      <c r="G27" s="5">
        <f>IF(F27="North",1,0)</f>
        <v>0</v>
      </c>
      <c r="H27">
        <f>-80484.1+(0.194328*D27)+(6.391292*E27)+(1576.133*F27)+(0*G27)</f>
        <v>116754.28572408001</v>
      </c>
      <c r="I27">
        <f>C27-H27</f>
        <v>682292.65427591989</v>
      </c>
    </row>
    <row r="28" spans="1:9">
      <c r="A28" s="5" t="s">
        <v>75</v>
      </c>
      <c r="B28" s="6">
        <v>45658</v>
      </c>
      <c r="C28" s="5">
        <v>812152.6</v>
      </c>
      <c r="D28" s="5">
        <v>50887.46</v>
      </c>
      <c r="E28" s="5">
        <v>9505</v>
      </c>
      <c r="F28" s="5">
        <v>89.7</v>
      </c>
      <c r="G28" s="5">
        <f>IF(F28="North",1,0)</f>
        <v>0</v>
      </c>
      <c r="H28">
        <f>-80484.1+(0.194328*D28)+(6.391292*E28)+(1576.133*F28)+(0*G28)</f>
        <v>131533.11888687999</v>
      </c>
      <c r="I28">
        <f>C28-H28</f>
        <v>680619.48111311998</v>
      </c>
    </row>
    <row r="29" spans="1:9">
      <c r="A29" s="5" t="s">
        <v>31</v>
      </c>
      <c r="B29" s="6">
        <v>45748</v>
      </c>
      <c r="C29" s="5">
        <v>828623.85</v>
      </c>
      <c r="D29" s="5">
        <v>65012.19</v>
      </c>
      <c r="E29" s="5">
        <v>9598</v>
      </c>
      <c r="F29" s="5">
        <v>98.3</v>
      </c>
      <c r="G29" s="5">
        <f>IF(F29="North",1,0)</f>
        <v>0</v>
      </c>
      <c r="H29">
        <f>-80484.1+(0.194328*D29)+(6.391292*E29)+(1576.133*F29)+(0*G29)</f>
        <v>148427.08337432001</v>
      </c>
      <c r="I29">
        <f>C29-H29</f>
        <v>680196.76662568003</v>
      </c>
    </row>
    <row r="30" spans="1:9">
      <c r="A30" s="5" t="s">
        <v>72</v>
      </c>
      <c r="B30" s="6">
        <v>45689</v>
      </c>
      <c r="C30" s="5">
        <v>787715.51</v>
      </c>
      <c r="D30" s="5">
        <v>78111.97</v>
      </c>
      <c r="E30" s="5">
        <v>6389</v>
      </c>
      <c r="F30" s="5">
        <v>83.9</v>
      </c>
      <c r="G30" s="5">
        <f>IF(F30="North",1,0)</f>
        <v>0</v>
      </c>
      <c r="H30">
        <f>-80484.1+(0.194328*D30)+(6.391292*E30)+(1576.133*F30)+(0*G30)</f>
        <v>107766.76619416002</v>
      </c>
      <c r="I30">
        <f>C30-H30</f>
        <v>679948.74380584003</v>
      </c>
    </row>
    <row r="31" spans="1:9">
      <c r="A31" s="5" t="s">
        <v>73</v>
      </c>
      <c r="B31" s="6">
        <v>45658</v>
      </c>
      <c r="C31" s="5">
        <v>825060.52</v>
      </c>
      <c r="D31" s="5">
        <v>92090.14</v>
      </c>
      <c r="E31" s="5">
        <v>9476</v>
      </c>
      <c r="F31" s="5">
        <v>94.3</v>
      </c>
      <c r="G31" s="5">
        <f>IF(F31="North",1,0)</f>
        <v>0</v>
      </c>
      <c r="H31">
        <f>-80484.1+(0.194328*D31)+(6.391292*E31)+(1576.133*F31)+(0*G31)</f>
        <v>146604.81761791999</v>
      </c>
      <c r="I31">
        <f>C31-H31</f>
        <v>678455.70238208002</v>
      </c>
    </row>
    <row r="32" spans="1:9">
      <c r="A32" s="5" t="s">
        <v>67</v>
      </c>
      <c r="B32" s="6">
        <v>45748</v>
      </c>
      <c r="C32" s="5">
        <v>819660.59</v>
      </c>
      <c r="D32" s="5">
        <v>57948.88</v>
      </c>
      <c r="E32" s="5">
        <v>10741</v>
      </c>
      <c r="F32" s="5">
        <v>90.1</v>
      </c>
      <c r="G32" s="5">
        <f>IF(F32="North",1,0)</f>
        <v>0</v>
      </c>
      <c r="H32">
        <f>-80484.1+(0.194328*D32)+(6.391292*E32)+(1576.133*F32)+(0*G32)</f>
        <v>141435.44062463997</v>
      </c>
      <c r="I32">
        <f>C32-H32</f>
        <v>678225.14937535999</v>
      </c>
    </row>
    <row r="33" spans="1:9">
      <c r="A33" s="5" t="s">
        <v>74</v>
      </c>
      <c r="B33" s="6">
        <v>45658</v>
      </c>
      <c r="C33" s="5">
        <v>810446.53</v>
      </c>
      <c r="D33" s="5">
        <v>63457.19</v>
      </c>
      <c r="E33" s="5">
        <v>10125</v>
      </c>
      <c r="F33" s="5">
        <v>87</v>
      </c>
      <c r="G33" s="5">
        <f>IF(F33="North",1,0)</f>
        <v>0</v>
      </c>
      <c r="H33">
        <f>-80484.1+(0.194328*D33)+(6.391292*E33)+(1576.133*F33)+(0*G33)</f>
        <v>133682.81131831999</v>
      </c>
      <c r="I33">
        <f>C33-H33</f>
        <v>676763.71868168004</v>
      </c>
    </row>
    <row r="34" spans="1:9">
      <c r="A34" s="5" t="s">
        <v>17</v>
      </c>
      <c r="B34" s="6">
        <v>45717</v>
      </c>
      <c r="C34" s="5">
        <v>806615.54</v>
      </c>
      <c r="D34" s="5">
        <v>46213.45</v>
      </c>
      <c r="E34" s="5">
        <v>10616</v>
      </c>
      <c r="F34" s="5">
        <v>85.2</v>
      </c>
      <c r="G34" s="5">
        <f>IF(F34="North",1,0)</f>
        <v>0</v>
      </c>
      <c r="H34">
        <f>-80484.1+(0.194328*D34)+(6.391292*E34)+(1576.133*F34)+(0*G34)</f>
        <v>130632.95478360001</v>
      </c>
      <c r="I34">
        <f>C34-H34</f>
        <v>675982.58521639998</v>
      </c>
    </row>
    <row r="35" spans="1:9">
      <c r="A35" s="5" t="s">
        <v>54</v>
      </c>
      <c r="B35" s="6">
        <v>45748</v>
      </c>
      <c r="C35" s="5">
        <v>811452.72</v>
      </c>
      <c r="D35" s="5">
        <v>66455.8</v>
      </c>
      <c r="E35" s="5">
        <v>10836</v>
      </c>
      <c r="F35" s="5">
        <v>85</v>
      </c>
      <c r="G35" s="5">
        <f>IF(F35="North",1,0)</f>
        <v>0</v>
      </c>
      <c r="H35">
        <f>-80484.1+(0.194328*D35)+(6.391292*E35)+(1576.133*F35)+(0*G35)</f>
        <v>135657.46781439998</v>
      </c>
      <c r="I35">
        <f>C35-H35</f>
        <v>675795.25218559999</v>
      </c>
    </row>
    <row r="36" spans="1:9">
      <c r="A36" s="5" t="s">
        <v>75</v>
      </c>
      <c r="B36" s="6">
        <v>45689</v>
      </c>
      <c r="C36" s="5">
        <v>804975.5</v>
      </c>
      <c r="D36" s="5">
        <v>41819.449999999997</v>
      </c>
      <c r="E36" s="5">
        <v>9412</v>
      </c>
      <c r="F36" s="5">
        <v>91</v>
      </c>
      <c r="G36" s="5">
        <f>IF(F36="North",1,0)</f>
        <v>0</v>
      </c>
      <c r="H36">
        <f>-80484.1+(0.194328*D36)+(6.391292*E36)+(1576.133*F36)+(0*G36)</f>
        <v>131225.53338360001</v>
      </c>
      <c r="I36">
        <f>C36-H36</f>
        <v>673749.96661640005</v>
      </c>
    </row>
    <row r="37" spans="1:9">
      <c r="A37" s="5" t="s">
        <v>54</v>
      </c>
      <c r="B37" s="6">
        <v>45689</v>
      </c>
      <c r="C37" s="5">
        <v>801830.35</v>
      </c>
      <c r="D37" s="5">
        <v>68410.929999999993</v>
      </c>
      <c r="E37" s="5">
        <v>10596</v>
      </c>
      <c r="F37" s="5">
        <v>81.2</v>
      </c>
      <c r="G37" s="5">
        <f>IF(F37="North",1,0)</f>
        <v>0</v>
      </c>
      <c r="H37">
        <f>-80484.1+(0.194328*D37)+(6.391292*E37)+(1576.133*F37)+(0*G37)</f>
        <v>128514.18883704</v>
      </c>
      <c r="I37">
        <f>C37-H37</f>
        <v>673316.16116295999</v>
      </c>
    </row>
    <row r="38" spans="1:9">
      <c r="A38" s="5" t="s">
        <v>81</v>
      </c>
      <c r="B38" s="6">
        <v>45689</v>
      </c>
      <c r="C38" s="5">
        <v>810355.02</v>
      </c>
      <c r="D38" s="5">
        <v>72961.95</v>
      </c>
      <c r="E38" s="5">
        <v>9996</v>
      </c>
      <c r="F38" s="5">
        <v>89.1</v>
      </c>
      <c r="G38" s="5">
        <f>IF(F38="North",1,0)</f>
        <v>0</v>
      </c>
      <c r="H38">
        <f>-80484.1+(0.194328*D38)+(6.391292*E38)+(1576.133*F38)+(0*G38)</f>
        <v>138015.25495159999</v>
      </c>
      <c r="I38">
        <f>C38-H38</f>
        <v>672339.76504840003</v>
      </c>
    </row>
    <row r="39" spans="1:9">
      <c r="A39" s="5" t="s">
        <v>48</v>
      </c>
      <c r="B39" s="6">
        <v>45717</v>
      </c>
      <c r="C39" s="5">
        <v>795153.84</v>
      </c>
      <c r="D39" s="5">
        <v>64294.23</v>
      </c>
      <c r="E39" s="5">
        <v>6992</v>
      </c>
      <c r="F39" s="5">
        <v>94.1</v>
      </c>
      <c r="G39" s="5">
        <f>IF(F39="North",1,0)</f>
        <v>0</v>
      </c>
      <c r="H39">
        <f>-80484.1+(0.194328*D39)+(6.391292*E39)+(1576.133*F39)+(0*G39)</f>
        <v>125012.09809143998</v>
      </c>
      <c r="I39">
        <f>C39-H39</f>
        <v>670141.74190856004</v>
      </c>
    </row>
    <row r="40" spans="1:9">
      <c r="A40" s="5" t="s">
        <v>50</v>
      </c>
      <c r="B40" s="6">
        <v>45658</v>
      </c>
      <c r="C40" s="5">
        <v>778397.97</v>
      </c>
      <c r="D40" s="5">
        <v>61426.04</v>
      </c>
      <c r="E40" s="5">
        <v>8966</v>
      </c>
      <c r="F40" s="5">
        <v>76.400000000000006</v>
      </c>
      <c r="G40" s="5">
        <f>IF(F40="North",1,0)</f>
        <v>0</v>
      </c>
      <c r="H40">
        <f>-80484.1+(0.194328*D40)+(6.391292*E40)+(1576.133*F40)+(0*G40)</f>
        <v>109173.58477312</v>
      </c>
      <c r="I40">
        <f>C40-H40</f>
        <v>669224.38522687997</v>
      </c>
    </row>
    <row r="41" spans="1:9">
      <c r="A41" s="5" t="s">
        <v>83</v>
      </c>
      <c r="B41" s="6">
        <v>45658</v>
      </c>
      <c r="C41" s="5">
        <v>802001.68</v>
      </c>
      <c r="D41" s="5">
        <v>76942.2</v>
      </c>
      <c r="E41" s="5">
        <v>8934</v>
      </c>
      <c r="F41" s="5">
        <v>91</v>
      </c>
      <c r="G41" s="5">
        <f>IF(F41="North",1,0)</f>
        <v>0</v>
      </c>
      <c r="H41">
        <f>-80484.1+(0.194328*D41)+(6.391292*E41)+(1576.133*F41)+(0*G41)</f>
        <v>134995.8295696</v>
      </c>
      <c r="I41">
        <f>C41-H41</f>
        <v>667005.85043040011</v>
      </c>
    </row>
    <row r="42" spans="1:9">
      <c r="A42" s="5" t="s">
        <v>73</v>
      </c>
      <c r="B42" s="6">
        <v>45689</v>
      </c>
      <c r="C42" s="5">
        <v>795464.47</v>
      </c>
      <c r="D42" s="5">
        <v>54300.87</v>
      </c>
      <c r="E42" s="5">
        <v>7875</v>
      </c>
      <c r="F42" s="5">
        <v>94.1</v>
      </c>
      <c r="G42" s="5">
        <f>IF(F42="North",1,0)</f>
        <v>0</v>
      </c>
      <c r="H42">
        <f>-80484.1+(0.194328*D42)+(6.391292*E42)+(1576.133*F42)+(0*G42)</f>
        <v>128713.61926536</v>
      </c>
      <c r="I42">
        <f>C42-H42</f>
        <v>666750.85073463991</v>
      </c>
    </row>
    <row r="43" spans="1:9">
      <c r="A43" s="5" t="s">
        <v>26</v>
      </c>
      <c r="B43" s="6">
        <v>45658</v>
      </c>
      <c r="C43" s="5">
        <v>811771.14</v>
      </c>
      <c r="D43" s="5">
        <v>57696.69</v>
      </c>
      <c r="E43" s="5">
        <v>10218</v>
      </c>
      <c r="F43" s="5">
        <v>94.8</v>
      </c>
      <c r="G43" s="5">
        <f>IF(F43="North",1,0)</f>
        <v>0</v>
      </c>
      <c r="H43">
        <f>-80484.1+(0.194328*D43)+(6.391292*E43)+(1576.133*F43)+(0*G43)</f>
        <v>145451.61243031998</v>
      </c>
      <c r="I43">
        <f>C43-H43</f>
        <v>666319.52756968001</v>
      </c>
    </row>
    <row r="44" spans="1:9">
      <c r="A44" s="5" t="s">
        <v>89</v>
      </c>
      <c r="B44" s="6">
        <v>45717</v>
      </c>
      <c r="C44" s="5">
        <v>799756.46</v>
      </c>
      <c r="D44" s="5">
        <v>61995.3</v>
      </c>
      <c r="E44" s="5">
        <v>10192</v>
      </c>
      <c r="F44" s="5">
        <v>87.6</v>
      </c>
      <c r="G44" s="5">
        <f>IF(F44="North",1,0)</f>
        <v>0</v>
      </c>
      <c r="H44">
        <f>-80484.1+(0.194328*D44)+(6.391292*E44)+(1576.133*F44)+(0*G44)</f>
        <v>134772.6215224</v>
      </c>
      <c r="I44">
        <f>C44-H44</f>
        <v>664983.8384775999</v>
      </c>
    </row>
    <row r="45" spans="1:9">
      <c r="A45" s="5" t="s">
        <v>40</v>
      </c>
      <c r="B45" s="6">
        <v>45717</v>
      </c>
      <c r="C45" s="5">
        <v>788087.68</v>
      </c>
      <c r="D45" s="5">
        <v>70144.78</v>
      </c>
      <c r="E45" s="5">
        <v>6806</v>
      </c>
      <c r="F45" s="5">
        <v>93.1</v>
      </c>
      <c r="G45" s="5">
        <f>IF(F45="North",1,0)</f>
        <v>0</v>
      </c>
      <c r="H45">
        <f>-80484.1+(0.194328*D45)+(6.391292*E45)+(1576.133*F45)+(0*G45)</f>
        <v>123384.11045983998</v>
      </c>
      <c r="I45">
        <f>C45-H45</f>
        <v>664703.56954016001</v>
      </c>
    </row>
    <row r="46" spans="1:9">
      <c r="A46" s="5" t="s">
        <v>66</v>
      </c>
      <c r="B46" s="6">
        <v>45689</v>
      </c>
      <c r="C46" s="5">
        <v>783582</v>
      </c>
      <c r="D46" s="5">
        <v>29389.32</v>
      </c>
      <c r="E46" s="5">
        <v>7925</v>
      </c>
      <c r="F46" s="5">
        <v>90.9</v>
      </c>
      <c r="G46" s="5">
        <f>IF(F46="North",1,0)</f>
        <v>0</v>
      </c>
      <c r="H46">
        <f>-80484.1+(0.194328*D46)+(6.391292*E46)+(1576.133*F46)+(0*G46)</f>
        <v>119148.54657696001</v>
      </c>
      <c r="I46">
        <f>C46-H46</f>
        <v>664433.45342303999</v>
      </c>
    </row>
    <row r="47" spans="1:9">
      <c r="A47" s="5" t="s">
        <v>41</v>
      </c>
      <c r="B47" s="6">
        <v>45717</v>
      </c>
      <c r="C47" s="5">
        <v>776922.17</v>
      </c>
      <c r="D47" s="5">
        <v>80562.81</v>
      </c>
      <c r="E47" s="5">
        <v>7470</v>
      </c>
      <c r="F47" s="5">
        <v>83.5</v>
      </c>
      <c r="G47" s="5">
        <f>IF(F47="North",1,0)</f>
        <v>0</v>
      </c>
      <c r="H47">
        <f>-80484.1+(0.194328*D47)+(6.391292*E47)+(1576.133*F47)+(0*G47)</f>
        <v>114521.56648168</v>
      </c>
      <c r="I47">
        <f>C47-H47</f>
        <v>662400.60351832001</v>
      </c>
    </row>
    <row r="48" spans="1:9">
      <c r="A48" s="5" t="s">
        <v>66</v>
      </c>
      <c r="B48" s="6">
        <v>45717</v>
      </c>
      <c r="C48" s="5">
        <v>781955.52</v>
      </c>
      <c r="D48" s="5">
        <v>40535.089999999997</v>
      </c>
      <c r="E48" s="5">
        <v>8870</v>
      </c>
      <c r="F48" s="5">
        <v>86.6</v>
      </c>
      <c r="G48" s="5">
        <f>IF(F48="North",1,0)</f>
        <v>0</v>
      </c>
      <c r="H48">
        <f>-80484.1+(0.194328*D48)+(6.391292*E48)+(1576.133*F48)+(0*G48)</f>
        <v>120576.88080951999</v>
      </c>
      <c r="I48">
        <f>C48-H48</f>
        <v>661378.63919048</v>
      </c>
    </row>
    <row r="49" spans="1:9">
      <c r="A49" s="5" t="s">
        <v>62</v>
      </c>
      <c r="B49" s="6">
        <v>45689</v>
      </c>
      <c r="C49" s="5">
        <v>778298.88</v>
      </c>
      <c r="D49" s="5">
        <v>48438.85</v>
      </c>
      <c r="E49" s="5">
        <v>6992</v>
      </c>
      <c r="F49" s="5">
        <v>91</v>
      </c>
      <c r="G49" s="5">
        <f>IF(F49="North",1,0)</f>
        <v>0</v>
      </c>
      <c r="H49">
        <f>-80484.1+(0.194328*D49)+(6.391292*E49)+(1576.133*F49)+(0*G49)</f>
        <v>117044.94150680001</v>
      </c>
      <c r="I49">
        <f>C49-H49</f>
        <v>661253.9384932</v>
      </c>
    </row>
    <row r="50" spans="1:9">
      <c r="A50" s="5" t="s">
        <v>30</v>
      </c>
      <c r="B50" s="6">
        <v>45717</v>
      </c>
      <c r="C50" s="5">
        <v>798952.17</v>
      </c>
      <c r="D50" s="5">
        <v>74413.88</v>
      </c>
      <c r="E50" s="5">
        <v>9449</v>
      </c>
      <c r="F50" s="5">
        <v>92.1</v>
      </c>
      <c r="G50" s="5">
        <f>IF(F50="North",1,0)</f>
        <v>0</v>
      </c>
      <c r="H50">
        <f>-80484.1+(0.194328*D50)+(6.391292*E50)+(1576.133*F50)+(0*G50)</f>
        <v>139529.76788063999</v>
      </c>
      <c r="I50">
        <f>C50-H50</f>
        <v>659422.40211936005</v>
      </c>
    </row>
    <row r="51" spans="1:9">
      <c r="A51" s="5" t="s">
        <v>65</v>
      </c>
      <c r="B51" s="6">
        <v>45748</v>
      </c>
      <c r="C51" s="5">
        <v>804264</v>
      </c>
      <c r="D51" s="5">
        <v>63043.94</v>
      </c>
      <c r="E51" s="5">
        <v>10402</v>
      </c>
      <c r="F51" s="5">
        <v>93.9</v>
      </c>
      <c r="G51" s="5">
        <f>IF(F51="North",1,0)</f>
        <v>0</v>
      </c>
      <c r="H51">
        <f>-80484.1+(0.194328*D51)+(6.391292*E51)+(1576.133*F51)+(0*G51)</f>
        <v>146248.21085631999</v>
      </c>
      <c r="I51">
        <f>C51-H51</f>
        <v>658015.78914368001</v>
      </c>
    </row>
    <row r="52" spans="1:9">
      <c r="A52" s="5" t="s">
        <v>82</v>
      </c>
      <c r="B52" s="6">
        <v>45658</v>
      </c>
      <c r="C52" s="5">
        <v>776992.93</v>
      </c>
      <c r="D52" s="5">
        <v>69900.12</v>
      </c>
      <c r="E52" s="5">
        <v>8055</v>
      </c>
      <c r="F52" s="5">
        <v>85.6</v>
      </c>
      <c r="G52" s="5">
        <f>IF(F52="North",1,0)</f>
        <v>0</v>
      </c>
      <c r="H52">
        <f>-80484.1+(0.194328*D52)+(6.391292*E52)+(1576.133*F52)+(0*G52)</f>
        <v>119498.29237936001</v>
      </c>
      <c r="I52">
        <f>C52-H52</f>
        <v>657494.63762063999</v>
      </c>
    </row>
    <row r="53" spans="1:9">
      <c r="A53" s="5" t="s">
        <v>30</v>
      </c>
      <c r="B53" s="6">
        <v>45689</v>
      </c>
      <c r="C53" s="5">
        <v>799477.76000000001</v>
      </c>
      <c r="D53" s="5">
        <v>73771.91</v>
      </c>
      <c r="E53" s="5">
        <v>11695</v>
      </c>
      <c r="F53" s="5">
        <v>84.7</v>
      </c>
      <c r="G53" s="5">
        <f>IF(F53="North",1,0)</f>
        <v>0</v>
      </c>
      <c r="H53">
        <f>-80484.1+(0.194328*D53)+(6.391292*E53)+(1576.133*F53)+(0*G53)</f>
        <v>142096.47276648</v>
      </c>
      <c r="I53">
        <f>C53-H53</f>
        <v>657381.28723352007</v>
      </c>
    </row>
    <row r="54" spans="1:9">
      <c r="A54" s="5" t="s">
        <v>97</v>
      </c>
      <c r="B54" s="6">
        <v>45748</v>
      </c>
      <c r="C54" s="5">
        <v>780580.95</v>
      </c>
      <c r="D54" s="5">
        <v>31997.25</v>
      </c>
      <c r="E54" s="5">
        <v>8183</v>
      </c>
      <c r="F54" s="5">
        <v>93</v>
      </c>
      <c r="G54" s="5">
        <f>IF(F54="North",1,0)</f>
        <v>0</v>
      </c>
      <c r="H54">
        <f>-80484.1+(0.194328*D54)+(6.391292*E54)+(1576.133*F54)+(0*G54)</f>
        <v>124614.17303399999</v>
      </c>
      <c r="I54">
        <f>C54-H54</f>
        <v>655966.77696599998</v>
      </c>
    </row>
    <row r="55" spans="1:9">
      <c r="A55" s="5" t="s">
        <v>26</v>
      </c>
      <c r="B55" s="6">
        <v>45689</v>
      </c>
      <c r="C55" s="5">
        <v>800451.94</v>
      </c>
      <c r="D55" s="5">
        <v>172415.52</v>
      </c>
      <c r="E55" s="5">
        <v>8927</v>
      </c>
      <c r="F55" s="5">
        <v>86.2</v>
      </c>
      <c r="G55" s="5">
        <f>IF(F55="North",1,0)</f>
        <v>0</v>
      </c>
      <c r="H55">
        <f>-80484.1+(0.194328*D55)+(6.391292*E55)+(1576.133*F55)+(0*G55)</f>
        <v>145938.79145456001</v>
      </c>
      <c r="I55">
        <f>C55-H55</f>
        <v>654513.14854543994</v>
      </c>
    </row>
    <row r="56" spans="1:9">
      <c r="A56" s="5" t="s">
        <v>86</v>
      </c>
      <c r="B56" s="6">
        <v>45748</v>
      </c>
      <c r="C56" s="5">
        <v>776110.32</v>
      </c>
      <c r="D56" s="5">
        <v>38397.82</v>
      </c>
      <c r="E56" s="5">
        <v>7836</v>
      </c>
      <c r="F56" s="5">
        <v>92.2</v>
      </c>
      <c r="G56" s="5">
        <f>IF(F56="North",1,0)</f>
        <v>0</v>
      </c>
      <c r="H56">
        <f>-80484.1+(0.194328*D56)+(6.391292*E56)+(1576.133*F56)+(0*G56)</f>
        <v>122379.29827695999</v>
      </c>
      <c r="I56">
        <f>C56-H56</f>
        <v>653731.02172303991</v>
      </c>
    </row>
    <row r="57" spans="1:9">
      <c r="A57" s="5" t="s">
        <v>19</v>
      </c>
      <c r="B57" s="6">
        <v>45689</v>
      </c>
      <c r="C57" s="5">
        <v>779010.94</v>
      </c>
      <c r="D57" s="5">
        <v>68133.440000000002</v>
      </c>
      <c r="E57" s="5">
        <v>9459</v>
      </c>
      <c r="F57" s="5">
        <v>85</v>
      </c>
      <c r="G57" s="5">
        <f>IF(F57="North",1,0)</f>
        <v>0</v>
      </c>
      <c r="H57">
        <f>-80484.1+(0.194328*D57)+(6.391292*E57)+(1576.133*F57)+(0*G57)</f>
        <v>127182.67115631999</v>
      </c>
      <c r="I57">
        <f>C57-H57</f>
        <v>651828.26884367992</v>
      </c>
    </row>
    <row r="58" spans="1:9">
      <c r="A58" s="5" t="s">
        <v>60</v>
      </c>
      <c r="B58" s="6">
        <v>45658</v>
      </c>
      <c r="C58" s="5">
        <v>785028.25</v>
      </c>
      <c r="D58" s="5">
        <v>75645.23</v>
      </c>
      <c r="E58" s="5">
        <v>9674</v>
      </c>
      <c r="F58" s="5">
        <v>87.4</v>
      </c>
      <c r="G58" s="5">
        <f>IF(F58="North",1,0)</f>
        <v>0</v>
      </c>
      <c r="H58">
        <f>-80484.1+(0.194328*D58)+(6.391292*E58)+(1576.133*F58)+(0*G58)</f>
        <v>133799.26926344002</v>
      </c>
      <c r="I58">
        <f>C58-H58</f>
        <v>651228.98073655996</v>
      </c>
    </row>
    <row r="59" spans="1:9">
      <c r="A59" s="5" t="s">
        <v>64</v>
      </c>
      <c r="B59" s="6">
        <v>45717</v>
      </c>
      <c r="C59" s="5">
        <v>769702.76</v>
      </c>
      <c r="D59" s="5">
        <v>50825.08</v>
      </c>
      <c r="E59" s="5">
        <v>8949</v>
      </c>
      <c r="F59" s="5">
        <v>84.7</v>
      </c>
      <c r="G59" s="5">
        <f>IF(F59="North",1,0)</f>
        <v>0</v>
      </c>
      <c r="H59">
        <f>-80484.1+(0.194328*D59)+(6.391292*E59)+(1576.133*F59)+(0*G59)</f>
        <v>120086.77335423999</v>
      </c>
      <c r="I59">
        <f>C59-H59</f>
        <v>649615.98664576001</v>
      </c>
    </row>
    <row r="60" spans="1:9">
      <c r="A60" s="5" t="s">
        <v>48</v>
      </c>
      <c r="B60" s="6">
        <v>45689</v>
      </c>
      <c r="C60" s="5">
        <v>783797.89</v>
      </c>
      <c r="D60" s="5">
        <v>74679.350000000006</v>
      </c>
      <c r="E60" s="5">
        <v>8739</v>
      </c>
      <c r="F60" s="5">
        <v>91.8</v>
      </c>
      <c r="G60" s="5">
        <f>IF(F60="North",1,0)</f>
        <v>0</v>
      </c>
      <c r="H60">
        <f>-80484.1+(0.194328*D60)+(6.391292*E60)+(1576.133*F60)+(0*G60)</f>
        <v>134570.69891480001</v>
      </c>
      <c r="I60">
        <f>C60-H60</f>
        <v>649227.19108520006</v>
      </c>
    </row>
    <row r="61" spans="1:9">
      <c r="A61" s="5" t="s">
        <v>26</v>
      </c>
      <c r="B61" s="6">
        <v>45717</v>
      </c>
      <c r="C61" s="5">
        <v>783672.82</v>
      </c>
      <c r="D61" s="5">
        <v>55270.52</v>
      </c>
      <c r="E61" s="5">
        <v>9315</v>
      </c>
      <c r="F61" s="5">
        <v>91.9</v>
      </c>
      <c r="G61" s="5">
        <f>IF(F61="North",1,0)</f>
        <v>0</v>
      </c>
      <c r="H61">
        <f>-80484.1+(0.194328*D61)+(6.391292*E61)+(1576.133*F61)+(0*G61)</f>
        <v>134638.01729056</v>
      </c>
      <c r="I61">
        <f>C61-H61</f>
        <v>649034.80270944</v>
      </c>
    </row>
    <row r="62" spans="1:9">
      <c r="A62" s="5" t="s">
        <v>30</v>
      </c>
      <c r="B62" s="6">
        <v>45748</v>
      </c>
      <c r="C62" s="5">
        <v>800979.78</v>
      </c>
      <c r="D62" s="5">
        <v>52483.77</v>
      </c>
      <c r="E62" s="5">
        <v>10453</v>
      </c>
      <c r="F62" s="5">
        <v>99</v>
      </c>
      <c r="G62" s="5">
        <f>IF(F62="North",1,0)</f>
        <v>0</v>
      </c>
      <c r="H62">
        <f>-80484.1+(0.194328*D62)+(6.391292*E62)+(1576.133*F62)+(0*G62)</f>
        <v>152560.30833256</v>
      </c>
      <c r="I62">
        <f>C62-H62</f>
        <v>648419.47166744003</v>
      </c>
    </row>
    <row r="63" spans="1:9">
      <c r="A63" s="5" t="s">
        <v>34</v>
      </c>
      <c r="B63" s="6">
        <v>45748</v>
      </c>
      <c r="C63" s="5">
        <v>773815.14</v>
      </c>
      <c r="D63" s="5">
        <v>65312.49</v>
      </c>
      <c r="E63" s="5">
        <v>7189</v>
      </c>
      <c r="F63" s="5">
        <v>93.7</v>
      </c>
      <c r="G63" s="5">
        <f>IF(F63="North",1,0)</f>
        <v>0</v>
      </c>
      <c r="H63">
        <f>-80484.1+(0.194328*D63)+(6.391292*E63)+(1576.133*F63)+(0*G63)</f>
        <v>125838.60584472</v>
      </c>
      <c r="I63">
        <f>C63-H63</f>
        <v>647976.53415527998</v>
      </c>
    </row>
    <row r="64" spans="1:9">
      <c r="A64" s="5" t="s">
        <v>88</v>
      </c>
      <c r="B64" s="6">
        <v>45689</v>
      </c>
      <c r="C64" s="5">
        <v>767792.94</v>
      </c>
      <c r="D64" s="5">
        <v>73454.539999999994</v>
      </c>
      <c r="E64" s="5">
        <v>8129</v>
      </c>
      <c r="F64" s="5">
        <v>85.2</v>
      </c>
      <c r="G64" s="5">
        <f>IF(F64="North",1,0)</f>
        <v>0</v>
      </c>
      <c r="H64">
        <f>-80484.1+(0.194328*D64)+(6.391292*E64)+(1576.133*F64)+(0*G64)</f>
        <v>120031.51811712001</v>
      </c>
      <c r="I64">
        <f>C64-H64</f>
        <v>647761.42188287992</v>
      </c>
    </row>
    <row r="65" spans="1:9">
      <c r="A65" s="5" t="s">
        <v>99</v>
      </c>
      <c r="B65" s="6">
        <v>45748</v>
      </c>
      <c r="C65" s="5">
        <v>771129.07</v>
      </c>
      <c r="D65" s="5">
        <v>86026.58</v>
      </c>
      <c r="E65" s="5">
        <v>7479</v>
      </c>
      <c r="F65" s="5">
        <v>89</v>
      </c>
      <c r="G65" s="5">
        <f>IF(F65="North",1,0)</f>
        <v>0</v>
      </c>
      <c r="H65">
        <f>-80484.1+(0.194328*D65)+(6.391292*E65)+(1576.133*F65)+(0*G65)</f>
        <v>124309.58310624</v>
      </c>
      <c r="I65">
        <f>C65-H65</f>
        <v>646819.48689375992</v>
      </c>
    </row>
    <row r="66" spans="1:9">
      <c r="A66" s="5" t="s">
        <v>67</v>
      </c>
      <c r="B66" s="6">
        <v>45717</v>
      </c>
      <c r="C66" s="5">
        <v>761077.08</v>
      </c>
      <c r="D66" s="5">
        <v>63010.23</v>
      </c>
      <c r="E66" s="5">
        <v>9812</v>
      </c>
      <c r="F66" s="5">
        <v>76.8</v>
      </c>
      <c r="G66" s="5">
        <f>IF(F66="North",1,0)</f>
        <v>0</v>
      </c>
      <c r="H66">
        <f>-80484.1+(0.194328*D66)+(6.391292*E66)+(1576.133*F66)+(0*G66)</f>
        <v>115518.92347944001</v>
      </c>
      <c r="I66">
        <f>C66-H66</f>
        <v>645558.15652055992</v>
      </c>
    </row>
    <row r="67" spans="1:9">
      <c r="A67" s="5" t="s">
        <v>96</v>
      </c>
      <c r="B67" s="6">
        <v>45689</v>
      </c>
      <c r="C67" s="5">
        <v>763162.45</v>
      </c>
      <c r="D67" s="5">
        <v>55477.61</v>
      </c>
      <c r="E67" s="5">
        <v>5903</v>
      </c>
      <c r="F67" s="5">
        <v>96.2</v>
      </c>
      <c r="G67" s="5">
        <f>IF(F67="North",1,0)</f>
        <v>0</v>
      </c>
      <c r="H67">
        <f>-80484.1+(0.194328*D67)+(6.391292*E67)+(1576.133*F67)+(0*G67)</f>
        <v>119648.54427208001</v>
      </c>
      <c r="I67">
        <f>C67-H67</f>
        <v>643513.90572791989</v>
      </c>
    </row>
    <row r="68" spans="1:9">
      <c r="A68" s="5" t="s">
        <v>65</v>
      </c>
      <c r="B68" s="6">
        <v>45658</v>
      </c>
      <c r="C68" s="5">
        <v>780344.18</v>
      </c>
      <c r="D68" s="5">
        <v>65237.79</v>
      </c>
      <c r="E68" s="5">
        <v>8741</v>
      </c>
      <c r="F68" s="5">
        <v>94.4</v>
      </c>
      <c r="G68" s="5">
        <f>IF(F68="North",1,0)</f>
        <v>0</v>
      </c>
      <c r="H68">
        <f>-80484.1+(0.194328*D68)+(6.391292*E68)+(1576.133*F68)+(0*G68)</f>
        <v>136846.66782712002</v>
      </c>
      <c r="I68">
        <f>C68-H68</f>
        <v>643497.51217288</v>
      </c>
    </row>
    <row r="69" spans="1:9">
      <c r="A69" s="5" t="s">
        <v>38</v>
      </c>
      <c r="B69" s="6">
        <v>45658</v>
      </c>
      <c r="C69" s="5">
        <v>784502.68</v>
      </c>
      <c r="D69" s="5">
        <v>70040.31</v>
      </c>
      <c r="E69" s="5">
        <v>9175</v>
      </c>
      <c r="F69" s="5">
        <v>95.1</v>
      </c>
      <c r="G69" s="5">
        <f>IF(F69="North",1,0)</f>
        <v>0</v>
      </c>
      <c r="H69">
        <f>-80484.1+(0.194328*D69)+(6.391292*E69)+(1576.133*F69)+(0*G69)</f>
        <v>141657.04576168</v>
      </c>
      <c r="I69">
        <f>C69-H69</f>
        <v>642845.63423832005</v>
      </c>
    </row>
    <row r="70" spans="1:9">
      <c r="A70" s="5" t="s">
        <v>37</v>
      </c>
      <c r="B70" s="6">
        <v>45748</v>
      </c>
      <c r="C70" s="5">
        <v>761860.19</v>
      </c>
      <c r="D70" s="5">
        <v>74954.47</v>
      </c>
      <c r="E70" s="5">
        <v>6620</v>
      </c>
      <c r="F70" s="5">
        <v>91.1</v>
      </c>
      <c r="G70" s="5">
        <f>IF(F70="North",1,0)</f>
        <v>0</v>
      </c>
      <c r="H70">
        <f>-80484.1+(0.194328*D70)+(6.391292*E70)+(1576.133*F70)+(0*G70)</f>
        <v>119977.72158616</v>
      </c>
      <c r="I70">
        <f>C70-H70</f>
        <v>641882.46841383993</v>
      </c>
    </row>
    <row r="71" spans="1:9">
      <c r="A71" s="5" t="s">
        <v>56</v>
      </c>
      <c r="B71" s="6">
        <v>45717</v>
      </c>
      <c r="C71" s="5">
        <v>758827.64</v>
      </c>
      <c r="D71" s="5">
        <v>69779</v>
      </c>
      <c r="E71" s="5">
        <v>6544</v>
      </c>
      <c r="F71" s="5">
        <v>90.2</v>
      </c>
      <c r="G71" s="5">
        <f>IF(F71="North",1,0)</f>
        <v>0</v>
      </c>
      <c r="H71">
        <f>-80484.1+(0.194328*D71)+(6.391292*E71)+(1576.133*F71)+(0*G71)</f>
        <v>117067.72495999999</v>
      </c>
      <c r="I71">
        <f>C71-H71</f>
        <v>641759.91503999999</v>
      </c>
    </row>
    <row r="72" spans="1:9">
      <c r="A72" s="5" t="s">
        <v>81</v>
      </c>
      <c r="B72" s="6">
        <v>45717</v>
      </c>
      <c r="C72" s="5">
        <v>761919.25</v>
      </c>
      <c r="D72" s="5">
        <v>59060.05</v>
      </c>
      <c r="E72" s="5">
        <v>9702</v>
      </c>
      <c r="F72" s="5">
        <v>80.900000000000006</v>
      </c>
      <c r="G72" s="5">
        <f>IF(F72="North",1,0)</f>
        <v>0</v>
      </c>
      <c r="H72">
        <f>-80484.1+(0.194328*D72)+(6.391292*E72)+(1576.133*F72)+(0*G72)</f>
        <v>120510.39608040001</v>
      </c>
      <c r="I72">
        <f>C72-H72</f>
        <v>641408.85391960002</v>
      </c>
    </row>
    <row r="73" spans="1:9">
      <c r="A73" s="5" t="s">
        <v>68</v>
      </c>
      <c r="B73" s="6">
        <v>45717</v>
      </c>
      <c r="C73" s="5">
        <v>765906.95</v>
      </c>
      <c r="D73" s="5">
        <v>48031.74</v>
      </c>
      <c r="E73" s="5">
        <v>6516</v>
      </c>
      <c r="F73" s="5">
        <v>99</v>
      </c>
      <c r="G73" s="5">
        <f>IF(F73="North",1,0)</f>
        <v>0</v>
      </c>
      <c r="H73">
        <f>-80484.1+(0.194328*D73)+(6.391292*E73)+(1576.133*F73)+(0*G73)</f>
        <v>126532.63764272002</v>
      </c>
      <c r="I73">
        <f>C73-H73</f>
        <v>639374.31235727994</v>
      </c>
    </row>
    <row r="74" spans="1:9">
      <c r="A74" s="5" t="s">
        <v>88</v>
      </c>
      <c r="B74" s="6">
        <v>45748</v>
      </c>
      <c r="C74" s="5">
        <v>762328.31</v>
      </c>
      <c r="D74" s="5">
        <v>67722.289999999994</v>
      </c>
      <c r="E74" s="5">
        <v>7240</v>
      </c>
      <c r="F74" s="5">
        <v>92.9</v>
      </c>
      <c r="G74" s="5">
        <f>IF(F74="North",1,0)</f>
        <v>0</v>
      </c>
      <c r="H74">
        <f>-80484.1+(0.194328*D74)+(6.391292*E74)+(1576.133*F74)+(0*G74)</f>
        <v>125371.94695112002</v>
      </c>
      <c r="I74">
        <f>C74-H74</f>
        <v>636956.36304888001</v>
      </c>
    </row>
    <row r="75" spans="1:9">
      <c r="A75" s="5" t="s">
        <v>45</v>
      </c>
      <c r="B75" s="6">
        <v>45689</v>
      </c>
      <c r="C75" s="5">
        <v>753473.55</v>
      </c>
      <c r="D75" s="5">
        <v>67439.3</v>
      </c>
      <c r="E75" s="5">
        <v>6477</v>
      </c>
      <c r="F75" s="5">
        <v>90.9</v>
      </c>
      <c r="G75" s="5">
        <f>IF(F75="North",1,0)</f>
        <v>0</v>
      </c>
      <c r="H75">
        <f>-80484.1+(0.194328*D75)+(6.391292*E75)+(1576.133*F75)+(0*G75)</f>
        <v>117288.13227440001</v>
      </c>
      <c r="I75">
        <f>C75-H75</f>
        <v>636185.41772560007</v>
      </c>
    </row>
    <row r="76" spans="1:9">
      <c r="A76" s="5" t="s">
        <v>17</v>
      </c>
      <c r="B76" s="6">
        <v>45689</v>
      </c>
      <c r="C76" s="5">
        <v>761835.34</v>
      </c>
      <c r="D76" s="5">
        <v>64811.21</v>
      </c>
      <c r="E76" s="5">
        <v>9792</v>
      </c>
      <c r="F76" s="5">
        <v>84.2</v>
      </c>
      <c r="G76" s="5">
        <f>IF(F76="North",1,0)</f>
        <v>0</v>
      </c>
      <c r="H76">
        <f>-80484.1+(0.194328*D76)+(6.391292*E76)+(1576.133*F76)+(0*G76)</f>
        <v>127404.46268088001</v>
      </c>
      <c r="I76">
        <f>C76-H76</f>
        <v>634430.87731911999</v>
      </c>
    </row>
    <row r="77" spans="1:9">
      <c r="A77" s="5" t="s">
        <v>74</v>
      </c>
      <c r="B77" s="6">
        <v>45748</v>
      </c>
      <c r="C77" s="5">
        <v>761963.23</v>
      </c>
      <c r="D77" s="5">
        <v>49405.75</v>
      </c>
      <c r="E77" s="5">
        <v>9752</v>
      </c>
      <c r="F77" s="5">
        <v>87</v>
      </c>
      <c r="G77" s="5">
        <f>IF(F77="North",1,0)</f>
        <v>0</v>
      </c>
      <c r="H77">
        <f>-80484.1+(0.194328*D77)+(6.391292*E77)+(1576.133*F77)+(0*G77)</f>
        <v>128568.27116999999</v>
      </c>
      <c r="I77">
        <f>C77-H77</f>
        <v>633394.95883000002</v>
      </c>
    </row>
    <row r="78" spans="1:9">
      <c r="A78" s="5" t="s">
        <v>91</v>
      </c>
      <c r="B78" s="6">
        <v>45748</v>
      </c>
      <c r="C78" s="5">
        <v>761122.42</v>
      </c>
      <c r="D78" s="5">
        <v>70284.06</v>
      </c>
      <c r="E78" s="5">
        <v>9109</v>
      </c>
      <c r="F78" s="5">
        <v>87</v>
      </c>
      <c r="G78" s="5">
        <f>IF(F78="North",1,0)</f>
        <v>0</v>
      </c>
      <c r="H78">
        <f>-80484.1+(0.194328*D78)+(6.391292*E78)+(1576.133*F78)+(0*G78)</f>
        <v>128515.91063967999</v>
      </c>
      <c r="I78">
        <f>C78-H78</f>
        <v>632606.50936032005</v>
      </c>
    </row>
    <row r="79" spans="1:9">
      <c r="A79" s="5" t="s">
        <v>47</v>
      </c>
      <c r="B79" s="6">
        <v>45717</v>
      </c>
      <c r="C79" s="5">
        <v>740102.64</v>
      </c>
      <c r="D79" s="5">
        <v>90084.4</v>
      </c>
      <c r="E79" s="5">
        <v>6832</v>
      </c>
      <c r="F79" s="5">
        <v>80.5</v>
      </c>
      <c r="G79" s="5">
        <f>IF(F79="North",1,0)</f>
        <v>0</v>
      </c>
      <c r="H79">
        <f>-80484.1+(0.194328*D79)+(6.391292*E79)+(1576.133*F79)+(0*G79)</f>
        <v>107565.83472719998</v>
      </c>
      <c r="I79">
        <f>C79-H79</f>
        <v>632536.80527280003</v>
      </c>
    </row>
    <row r="80" spans="1:9">
      <c r="A80" s="5" t="s">
        <v>46</v>
      </c>
      <c r="B80" s="6">
        <v>45689</v>
      </c>
      <c r="C80" s="5">
        <v>735509.4</v>
      </c>
      <c r="D80" s="5">
        <v>78839.39</v>
      </c>
      <c r="E80" s="5">
        <v>5150</v>
      </c>
      <c r="F80" s="5">
        <v>85.8</v>
      </c>
      <c r="G80" s="5">
        <f>IF(F80="North",1,0)</f>
        <v>0</v>
      </c>
      <c r="H80">
        <f>-80484.1+(0.194328*D80)+(6.391292*E80)+(1576.133*F80)+(0*G80)</f>
        <v>102983.96617992</v>
      </c>
      <c r="I80">
        <f>C80-H80</f>
        <v>632525.43382008001</v>
      </c>
    </row>
    <row r="81" spans="1:9">
      <c r="A81" s="5" t="s">
        <v>82</v>
      </c>
      <c r="B81" s="6">
        <v>45748</v>
      </c>
      <c r="C81" s="5">
        <v>763159.92</v>
      </c>
      <c r="D81" s="5">
        <v>53546.34</v>
      </c>
      <c r="E81" s="5">
        <v>8004</v>
      </c>
      <c r="F81" s="5">
        <v>95.2</v>
      </c>
      <c r="G81" s="5">
        <f>IF(F81="North",1,0)</f>
        <v>0</v>
      </c>
      <c r="H81">
        <f>-80484.1+(0.194328*D81)+(6.391292*E81)+(1576.133*F81)+(0*G81)</f>
        <v>131125.21592752001</v>
      </c>
      <c r="I81">
        <f>C81-H81</f>
        <v>632034.70407248009</v>
      </c>
    </row>
    <row r="82" spans="1:9">
      <c r="A82" s="5" t="s">
        <v>61</v>
      </c>
      <c r="B82" s="6">
        <v>45717</v>
      </c>
      <c r="C82" s="5">
        <v>724216.07</v>
      </c>
      <c r="D82" s="5">
        <v>56918.16</v>
      </c>
      <c r="E82" s="5">
        <v>7015</v>
      </c>
      <c r="F82" s="5">
        <v>74.2</v>
      </c>
      <c r="G82" s="5">
        <f>IF(F82="North",1,0)</f>
        <v>0</v>
      </c>
      <c r="H82">
        <f>-80484.1+(0.194328*D82)+(6.391292*E82)+(1576.133*F82)+(0*G82)</f>
        <v>92360.67417648001</v>
      </c>
      <c r="I82">
        <f>C82-H82</f>
        <v>631855.39582351991</v>
      </c>
    </row>
    <row r="83" spans="1:9">
      <c r="A83" s="5" t="s">
        <v>91</v>
      </c>
      <c r="B83" s="6">
        <v>45717</v>
      </c>
      <c r="C83" s="5">
        <v>756619.77</v>
      </c>
      <c r="D83" s="5">
        <v>48609.41</v>
      </c>
      <c r="E83" s="5">
        <v>9324</v>
      </c>
      <c r="F83" s="5">
        <v>86.5</v>
      </c>
      <c r="G83" s="5">
        <f>IF(F83="North",1,0)</f>
        <v>0</v>
      </c>
      <c r="H83">
        <f>-80484.1+(0.194328*D83)+(6.391292*E83)+(1576.133*F83)+(0*G83)</f>
        <v>124889.98053448001</v>
      </c>
      <c r="I83">
        <f>C83-H83</f>
        <v>631729.78946552007</v>
      </c>
    </row>
    <row r="84" spans="1:9">
      <c r="A84" s="5" t="s">
        <v>37</v>
      </c>
      <c r="B84" s="6">
        <v>45658</v>
      </c>
      <c r="C84" s="5">
        <v>749559.71</v>
      </c>
      <c r="D84" s="5">
        <v>74907.98</v>
      </c>
      <c r="E84" s="5">
        <v>5306</v>
      </c>
      <c r="F84" s="5">
        <v>95.6</v>
      </c>
      <c r="G84" s="5">
        <f>IF(F84="North",1,0)</f>
        <v>0</v>
      </c>
      <c r="H84">
        <f>-80484.1+(0.194328*D84)+(6.391292*E84)+(1576.133*F84)+(0*G84)</f>
        <v>118663.12808944</v>
      </c>
      <c r="I84">
        <f>C84-H84</f>
        <v>630896.58191055991</v>
      </c>
    </row>
    <row r="85" spans="1:9">
      <c r="A85" s="5" t="s">
        <v>65</v>
      </c>
      <c r="B85" s="6">
        <v>45717</v>
      </c>
      <c r="C85" s="5">
        <v>758138.29</v>
      </c>
      <c r="D85" s="5">
        <v>68040.149999999994</v>
      </c>
      <c r="E85" s="5">
        <v>9826</v>
      </c>
      <c r="F85" s="5">
        <v>83.9</v>
      </c>
      <c r="G85" s="5">
        <f>IF(F85="North",1,0)</f>
        <v>0</v>
      </c>
      <c r="H85">
        <f>-80484.1+(0.194328*D85)+(6.391292*E85)+(1576.133*F85)+(0*G85)</f>
        <v>127776.40016120001</v>
      </c>
      <c r="I85">
        <f>C85-H85</f>
        <v>630361.88983880007</v>
      </c>
    </row>
    <row r="86" spans="1:9">
      <c r="A86" s="5" t="s">
        <v>35</v>
      </c>
      <c r="B86" s="6">
        <v>45689</v>
      </c>
      <c r="C86" s="5">
        <v>746677.75</v>
      </c>
      <c r="D86" s="5">
        <v>99874.01</v>
      </c>
      <c r="E86" s="5">
        <v>5887</v>
      </c>
      <c r="F86" s="5">
        <v>88.7</v>
      </c>
      <c r="G86" s="5">
        <f>IF(F86="North",1,0)</f>
        <v>0</v>
      </c>
      <c r="H86">
        <f>-80484.1+(0.194328*D86)+(6.391292*E86)+(1576.133*F86)+(0*G86)</f>
        <v>116352.74971927999</v>
      </c>
      <c r="I86">
        <f>C86-H86</f>
        <v>630325.00028071995</v>
      </c>
    </row>
    <row r="87" spans="1:9">
      <c r="A87" s="5" t="s">
        <v>85</v>
      </c>
      <c r="B87" s="6">
        <v>45658</v>
      </c>
      <c r="C87" s="5">
        <v>764949</v>
      </c>
      <c r="D87" s="5">
        <v>81801.8</v>
      </c>
      <c r="E87" s="5">
        <v>6782</v>
      </c>
      <c r="F87" s="5">
        <v>99</v>
      </c>
      <c r="G87" s="5">
        <f>IF(F87="North",1,0)</f>
        <v>0</v>
      </c>
      <c r="H87">
        <f>-80484.1+(0.194328*D87)+(6.391292*E87)+(1576.133*F87)+(0*G87)</f>
        <v>134795.18953440001</v>
      </c>
      <c r="I87">
        <f>C87-H87</f>
        <v>630153.81046559999</v>
      </c>
    </row>
    <row r="88" spans="1:9">
      <c r="A88" s="5" t="s">
        <v>67</v>
      </c>
      <c r="B88" s="6">
        <v>45689</v>
      </c>
      <c r="C88" s="5">
        <v>751393.88</v>
      </c>
      <c r="D88" s="5">
        <v>45209.25</v>
      </c>
      <c r="E88" s="5">
        <v>9287</v>
      </c>
      <c r="F88" s="5">
        <v>86.4</v>
      </c>
      <c r="G88" s="5">
        <f>IF(F88="North",1,0)</f>
        <v>0</v>
      </c>
      <c r="H88">
        <f>-80484.1+(0.194328*D88)+(6.391292*E88)+(1576.133*F88)+(0*G88)</f>
        <v>123835.14313800001</v>
      </c>
      <c r="I88">
        <f>C88-H88</f>
        <v>627558.73686199996</v>
      </c>
    </row>
    <row r="89" spans="1:9">
      <c r="A89" s="5" t="s">
        <v>94</v>
      </c>
      <c r="B89" s="6">
        <v>45658</v>
      </c>
      <c r="C89" s="5">
        <v>729424.42</v>
      </c>
      <c r="D89" s="5">
        <v>70012.41</v>
      </c>
      <c r="E89" s="5">
        <v>8484</v>
      </c>
      <c r="F89" s="5">
        <v>72.900000000000006</v>
      </c>
      <c r="G89" s="5">
        <f>IF(F89="North",1,0)</f>
        <v>0</v>
      </c>
      <c r="H89">
        <f>-80484.1+(0.194328*D89)+(6.391292*E89)+(1576.133*F89)+(0*G89)</f>
        <v>102245.08863848</v>
      </c>
      <c r="I89">
        <f>C89-H89</f>
        <v>627179.3313615201</v>
      </c>
    </row>
    <row r="90" spans="1:9">
      <c r="A90" s="5" t="s">
        <v>71</v>
      </c>
      <c r="B90" s="6">
        <v>45748</v>
      </c>
      <c r="C90" s="5">
        <v>735786.64</v>
      </c>
      <c r="D90" s="5">
        <v>61391.8</v>
      </c>
      <c r="E90" s="5">
        <v>5575</v>
      </c>
      <c r="F90" s="5">
        <v>90</v>
      </c>
      <c r="G90" s="5">
        <f>IF(F90="North",1,0)</f>
        <v>0</v>
      </c>
      <c r="H90">
        <f>-80484.1+(0.194328*D90)+(6.391292*E90)+(1576.133*F90)+(0*G90)</f>
        <v>108929.46861039998</v>
      </c>
      <c r="I90">
        <f>C90-H90</f>
        <v>626857.17138960003</v>
      </c>
    </row>
    <row r="91" spans="1:9">
      <c r="A91" s="5" t="s">
        <v>42</v>
      </c>
      <c r="B91" s="6">
        <v>45717</v>
      </c>
      <c r="C91" s="5">
        <v>727241.86</v>
      </c>
      <c r="D91" s="5">
        <v>72731.14</v>
      </c>
      <c r="E91" s="5">
        <v>4644</v>
      </c>
      <c r="F91" s="5">
        <v>87.1</v>
      </c>
      <c r="G91" s="5">
        <f>IF(F91="North",1,0)</f>
        <v>0</v>
      </c>
      <c r="H91">
        <f>-80484.1+(0.194328*D91)+(6.391292*E91)+(1576.133*F91)+(0*G91)</f>
        <v>100611.94132191999</v>
      </c>
      <c r="I91">
        <f>C91-H91</f>
        <v>626629.91867807996</v>
      </c>
    </row>
    <row r="92" spans="1:9">
      <c r="A92" s="5" t="s">
        <v>75</v>
      </c>
      <c r="B92" s="6">
        <v>45717</v>
      </c>
      <c r="C92" s="5">
        <v>752321.72</v>
      </c>
      <c r="D92" s="5">
        <v>35296.54</v>
      </c>
      <c r="E92" s="5">
        <v>9644</v>
      </c>
      <c r="F92" s="5">
        <v>88</v>
      </c>
      <c r="G92" s="5">
        <f>IF(F92="North",1,0)</f>
        <v>0</v>
      </c>
      <c r="H92">
        <f>-80484.1+(0.194328*D92)+(6.391292*E92)+(1576.133*F92)+(0*G92)</f>
        <v>126712.33007311999</v>
      </c>
      <c r="I92">
        <f>C92-H92</f>
        <v>625609.38992688002</v>
      </c>
    </row>
    <row r="93" spans="1:9">
      <c r="A93" s="5" t="s">
        <v>88</v>
      </c>
      <c r="B93" s="6">
        <v>45717</v>
      </c>
      <c r="C93" s="5">
        <v>745580.51</v>
      </c>
      <c r="D93" s="5">
        <v>56602.39</v>
      </c>
      <c r="E93" s="5">
        <v>7969</v>
      </c>
      <c r="F93" s="5">
        <v>88.3</v>
      </c>
      <c r="G93" s="5">
        <f>IF(F93="North",1,0)</f>
        <v>0</v>
      </c>
      <c r="H93">
        <f>-80484.1+(0.194328*D93)+(6.391292*E93)+(1576.133*F93)+(0*G93)</f>
        <v>120620.07909191998</v>
      </c>
      <c r="I93">
        <f>C93-H93</f>
        <v>624960.43090808007</v>
      </c>
    </row>
    <row r="94" spans="1:9">
      <c r="A94" s="5" t="s">
        <v>86</v>
      </c>
      <c r="B94" s="6">
        <v>45717</v>
      </c>
      <c r="C94" s="5">
        <v>746115.59</v>
      </c>
      <c r="D94" s="5">
        <v>44189.34</v>
      </c>
      <c r="E94" s="5">
        <v>8634</v>
      </c>
      <c r="F94" s="5">
        <v>87.5</v>
      </c>
      <c r="G94" s="5">
        <f>IF(F94="North",1,0)</f>
        <v>0</v>
      </c>
      <c r="H94">
        <f>-80484.1+(0.194328*D94)+(6.391292*E94)+(1576.133*F94)+(0*G94)</f>
        <v>121197.17869152001</v>
      </c>
      <c r="I94">
        <f>C94-H94</f>
        <v>624918.41130847996</v>
      </c>
    </row>
    <row r="95" spans="1:9">
      <c r="A95" s="5" t="s">
        <v>83</v>
      </c>
      <c r="B95" s="6">
        <v>45689</v>
      </c>
      <c r="C95" s="5">
        <v>750471.34</v>
      </c>
      <c r="D95" s="5">
        <v>48060.78</v>
      </c>
      <c r="E95" s="5">
        <v>8733</v>
      </c>
      <c r="F95" s="5">
        <v>89.9</v>
      </c>
      <c r="G95" s="5">
        <f>IF(F95="North",1,0)</f>
        <v>0</v>
      </c>
      <c r="H95">
        <f>-80484.1+(0.194328*D95)+(6.391292*E95)+(1576.133*F95)+(0*G95)</f>
        <v>126364.96499184</v>
      </c>
      <c r="I95">
        <f>C95-H95</f>
        <v>624106.37500816002</v>
      </c>
    </row>
    <row r="96" spans="1:9">
      <c r="A96" s="5" t="s">
        <v>89</v>
      </c>
      <c r="B96" s="6">
        <v>45689</v>
      </c>
      <c r="C96" s="5">
        <v>739374.56</v>
      </c>
      <c r="D96" s="5">
        <v>23914.97</v>
      </c>
      <c r="E96" s="5">
        <v>8018</v>
      </c>
      <c r="F96" s="5">
        <v>89</v>
      </c>
      <c r="G96" s="5">
        <f>IF(F96="North",1,0)</f>
        <v>0</v>
      </c>
      <c r="H96">
        <f>-80484.1+(0.194328*D96)+(6.391292*E96)+(1576.133*F96)+(0*G96)</f>
        <v>115684.46454616</v>
      </c>
      <c r="I96">
        <f>C96-H96</f>
        <v>623690.0954538401</v>
      </c>
    </row>
    <row r="97" spans="1:9">
      <c r="A97" s="5" t="s">
        <v>84</v>
      </c>
      <c r="B97" s="6">
        <v>45748</v>
      </c>
      <c r="C97" s="5">
        <v>729440.45</v>
      </c>
      <c r="D97" s="5">
        <v>97480.94</v>
      </c>
      <c r="E97" s="5">
        <v>6840</v>
      </c>
      <c r="F97" s="5">
        <v>79.2</v>
      </c>
      <c r="G97" s="5">
        <f>IF(F97="North",1,0)</f>
        <v>0</v>
      </c>
      <c r="H97">
        <f>-80484.1+(0.194328*D97)+(6.391292*E97)+(1576.133*F97)+(0*G97)</f>
        <v>107005.34698832</v>
      </c>
      <c r="I97">
        <f>C97-H97</f>
        <v>622435.10301167995</v>
      </c>
    </row>
    <row r="98" spans="1:9">
      <c r="A98" s="5" t="s">
        <v>44</v>
      </c>
      <c r="B98" s="6">
        <v>45717</v>
      </c>
      <c r="C98" s="5">
        <v>739852.58</v>
      </c>
      <c r="D98" s="5">
        <v>82116.19</v>
      </c>
      <c r="E98" s="5">
        <v>5988</v>
      </c>
      <c r="F98" s="5">
        <v>91.8</v>
      </c>
      <c r="G98" s="5">
        <f>IF(F98="North",1,0)</f>
        <v>0</v>
      </c>
      <c r="H98">
        <f>-80484.1+(0.194328*D98)+(6.391292*E98)+(1576.133*F98)+(0*G98)</f>
        <v>118433.44086632</v>
      </c>
      <c r="I98">
        <f>C98-H98</f>
        <v>621419.13913367991</v>
      </c>
    </row>
    <row r="99" spans="1:9">
      <c r="A99" s="5" t="s">
        <v>81</v>
      </c>
      <c r="B99" s="6">
        <v>45748</v>
      </c>
      <c r="C99" s="5">
        <v>737070.18</v>
      </c>
      <c r="D99" s="5">
        <v>26248.1</v>
      </c>
      <c r="E99" s="5">
        <v>9314</v>
      </c>
      <c r="F99" s="5">
        <v>83.7</v>
      </c>
      <c r="G99" s="5">
        <f>IF(F99="North",1,0)</f>
        <v>0</v>
      </c>
      <c r="H99">
        <f>-80484.1+(0.194328*D99)+(6.391292*E99)+(1576.133*F99)+(0*G99)</f>
        <v>116067.46656479999</v>
      </c>
      <c r="I99">
        <f>C99-H99</f>
        <v>621002.71343520004</v>
      </c>
    </row>
    <row r="100" spans="1:9">
      <c r="A100" s="5" t="s">
        <v>91</v>
      </c>
      <c r="B100" s="6">
        <v>45689</v>
      </c>
      <c r="C100" s="5">
        <v>738548.42</v>
      </c>
      <c r="D100" s="5">
        <v>36832.33</v>
      </c>
      <c r="E100" s="5">
        <v>8001</v>
      </c>
      <c r="F100" s="5">
        <v>88.7</v>
      </c>
      <c r="G100" s="5">
        <f>IF(F100="North",1,0)</f>
        <v>0</v>
      </c>
      <c r="H100">
        <f>-80484.1+(0.194328*D100)+(6.391292*E100)+(1576.133*F100)+(0*G100)</f>
        <v>117613.17741624001</v>
      </c>
      <c r="I100">
        <f>C100-H100</f>
        <v>620935.24258376006</v>
      </c>
    </row>
    <row r="101" spans="1:9">
      <c r="A101" s="5" t="s">
        <v>31</v>
      </c>
      <c r="B101" s="6">
        <v>45717</v>
      </c>
      <c r="C101" s="5">
        <v>736633.4</v>
      </c>
      <c r="D101" s="5">
        <v>93381.26</v>
      </c>
      <c r="E101" s="5">
        <v>7562</v>
      </c>
      <c r="F101" s="5">
        <v>82.9</v>
      </c>
      <c r="G101" s="5">
        <f>IF(F101="North",1,0)</f>
        <v>0</v>
      </c>
      <c r="H101">
        <f>-80484.1+(0.194328*D101)+(6.391292*E101)+(1576.133*F101)+(0*G101)</f>
        <v>116654.86929728001</v>
      </c>
      <c r="I101">
        <f>C101-H101</f>
        <v>619978.53070272005</v>
      </c>
    </row>
    <row r="102" spans="1:9">
      <c r="A102" s="5" t="s">
        <v>48</v>
      </c>
      <c r="B102" s="6">
        <v>45658</v>
      </c>
      <c r="C102" s="5">
        <v>727227.2</v>
      </c>
      <c r="D102" s="5">
        <v>57919.07</v>
      </c>
      <c r="E102" s="5">
        <v>7374</v>
      </c>
      <c r="F102" s="5">
        <v>82.3</v>
      </c>
      <c r="G102" s="5">
        <f>IF(F102="North",1,0)</f>
        <v>0</v>
      </c>
      <c r="H102">
        <f>-80484.1+(0.194328*D102)+(6.391292*E102)+(1576.133*F102)+(0*G102)</f>
        <v>107616.33014296</v>
      </c>
      <c r="I102">
        <f>C102-H102</f>
        <v>619610.86985704</v>
      </c>
    </row>
    <row r="103" spans="1:9">
      <c r="A103" s="5" t="s">
        <v>22</v>
      </c>
      <c r="B103" s="6">
        <v>45717</v>
      </c>
      <c r="C103" s="5">
        <v>746501.09</v>
      </c>
      <c r="D103" s="5">
        <v>59909.51</v>
      </c>
      <c r="E103" s="5">
        <v>8895</v>
      </c>
      <c r="F103" s="5">
        <v>88.8</v>
      </c>
      <c r="G103" s="5">
        <f>IF(F103="North",1,0)</f>
        <v>0</v>
      </c>
      <c r="H103">
        <f>-80484.1+(0.194328*D103)+(6.391292*E103)+(1576.133*F103)+(0*G103)</f>
        <v>127969.14799928</v>
      </c>
      <c r="I103">
        <f>C103-H103</f>
        <v>618531.94200071995</v>
      </c>
    </row>
    <row r="104" spans="1:9">
      <c r="A104" s="5" t="s">
        <v>56</v>
      </c>
      <c r="B104" s="6">
        <v>45689</v>
      </c>
      <c r="C104" s="5">
        <v>743348.84</v>
      </c>
      <c r="D104" s="5">
        <v>75109.67</v>
      </c>
      <c r="E104" s="5">
        <v>6244</v>
      </c>
      <c r="F104" s="5">
        <v>96.3</v>
      </c>
      <c r="G104" s="5">
        <f>IF(F104="North",1,0)</f>
        <v>0</v>
      </c>
      <c r="H104">
        <f>-80484.1+(0.194328*D104)+(6.391292*E104)+(1576.133*F104)+(0*G104)</f>
        <v>125800.64709976001</v>
      </c>
      <c r="I104">
        <f>C104-H104</f>
        <v>617548.19290023996</v>
      </c>
    </row>
    <row r="105" spans="1:9">
      <c r="A105" s="5" t="s">
        <v>80</v>
      </c>
      <c r="B105" s="6">
        <v>45689</v>
      </c>
      <c r="C105" s="5">
        <v>723305.11</v>
      </c>
      <c r="D105" s="5">
        <v>61650.79</v>
      </c>
      <c r="E105" s="5">
        <v>5321</v>
      </c>
      <c r="F105" s="5">
        <v>89.2</v>
      </c>
      <c r="G105" s="5">
        <f>IF(F105="North",1,0)</f>
        <v>0</v>
      </c>
      <c r="H105">
        <f>-80484.1+(0.194328*D105)+(6.391292*E105)+(1576.133*F105)+(0*G105)</f>
        <v>106095.50305111999</v>
      </c>
      <c r="I105">
        <f>C105-H105</f>
        <v>617209.60694888001</v>
      </c>
    </row>
    <row r="106" spans="1:9">
      <c r="A106" s="5" t="s">
        <v>38</v>
      </c>
      <c r="B106" s="6">
        <v>45748</v>
      </c>
      <c r="C106" s="5">
        <v>740496.65</v>
      </c>
      <c r="D106" s="5">
        <v>42018.400000000001</v>
      </c>
      <c r="E106" s="5">
        <v>8296</v>
      </c>
      <c r="F106" s="5">
        <v>91.8</v>
      </c>
      <c r="G106" s="5">
        <f>IF(F106="North",1,0)</f>
        <v>0</v>
      </c>
      <c r="H106">
        <f>-80484.1+(0.194328*D106)+(6.391292*E106)+(1576.133*F106)+(0*G106)</f>
        <v>125392.4194672</v>
      </c>
      <c r="I106">
        <f>C106-H106</f>
        <v>615104.23053280008</v>
      </c>
    </row>
    <row r="107" spans="1:9">
      <c r="A107" s="5" t="s">
        <v>49</v>
      </c>
      <c r="B107" s="6">
        <v>45658</v>
      </c>
      <c r="C107" s="5">
        <v>709478.39</v>
      </c>
      <c r="D107" s="5">
        <v>75265.02</v>
      </c>
      <c r="E107" s="5">
        <v>6975</v>
      </c>
      <c r="F107" s="5">
        <v>73.8</v>
      </c>
      <c r="G107" s="5">
        <f>IF(F107="North",1,0)</f>
        <v>0</v>
      </c>
      <c r="H107">
        <f>-80484.1+(0.194328*D107)+(6.391292*E107)+(1576.133*F107)+(0*G107)</f>
        <v>95039.877906559996</v>
      </c>
      <c r="I107">
        <f>C107-H107</f>
        <v>614438.51209344005</v>
      </c>
    </row>
    <row r="108" spans="1:9">
      <c r="A108" s="5" t="s">
        <v>49</v>
      </c>
      <c r="B108" s="6">
        <v>45748</v>
      </c>
      <c r="C108" s="5">
        <v>713611.16</v>
      </c>
      <c r="D108" s="5">
        <v>52758.01</v>
      </c>
      <c r="E108" s="5">
        <v>4063</v>
      </c>
      <c r="F108" s="5">
        <v>91.7</v>
      </c>
      <c r="G108" s="5">
        <f>IF(F108="North",1,0)</f>
        <v>0</v>
      </c>
      <c r="H108">
        <f>-80484.1+(0.194328*D108)+(6.391292*E108)+(1576.133*F108)+(0*G108)</f>
        <v>100267.47406328001</v>
      </c>
      <c r="I108">
        <f>C108-H108</f>
        <v>613343.68593671999</v>
      </c>
    </row>
    <row r="109" spans="1:9">
      <c r="A109" s="5" t="s">
        <v>44</v>
      </c>
      <c r="B109" s="6">
        <v>45658</v>
      </c>
      <c r="C109" s="5">
        <v>711213.46</v>
      </c>
      <c r="D109" s="5">
        <v>50517.94</v>
      </c>
      <c r="E109" s="5">
        <v>7024</v>
      </c>
      <c r="F109" s="5">
        <v>79.2</v>
      </c>
      <c r="G109" s="5">
        <f>IF(F109="North",1,0)</f>
        <v>0</v>
      </c>
      <c r="H109">
        <f>-80484.1+(0.194328*D109)+(6.391292*E109)+(1576.133*F109)+(0*G109)</f>
        <v>99055.118852319996</v>
      </c>
      <c r="I109">
        <f>C109-H109</f>
        <v>612158.34114767995</v>
      </c>
    </row>
    <row r="110" spans="1:9">
      <c r="A110" s="5" t="s">
        <v>35</v>
      </c>
      <c r="B110" s="6">
        <v>45717</v>
      </c>
      <c r="C110" s="5">
        <v>720852.5</v>
      </c>
      <c r="D110" s="5">
        <v>81195.5</v>
      </c>
      <c r="E110" s="5">
        <v>5516</v>
      </c>
      <c r="F110" s="5">
        <v>88</v>
      </c>
      <c r="G110" s="5">
        <f>IF(F110="North",1,0)</f>
        <v>0</v>
      </c>
      <c r="H110">
        <f>-80484.1+(0.194328*D110)+(6.391292*E110)+(1576.133*F110)+(0*G110)</f>
        <v>109248.52979599999</v>
      </c>
      <c r="I110">
        <f>C110-H110</f>
        <v>611603.97020400001</v>
      </c>
    </row>
    <row r="111" spans="1:9">
      <c r="A111" s="5" t="s">
        <v>85</v>
      </c>
      <c r="B111" s="6">
        <v>45717</v>
      </c>
      <c r="C111" s="5">
        <v>720079.54</v>
      </c>
      <c r="D111" s="5">
        <v>75412.740000000005</v>
      </c>
      <c r="E111" s="5">
        <v>5641</v>
      </c>
      <c r="F111" s="5">
        <v>87.9</v>
      </c>
      <c r="G111" s="5">
        <f>IF(F111="North",1,0)</f>
        <v>0</v>
      </c>
      <c r="H111">
        <f>-80484.1+(0.194328*D111)+(6.391292*E111)+(1576.133*F111)+(0*G111)</f>
        <v>108766.07581071998</v>
      </c>
      <c r="I111">
        <f>C111-H111</f>
        <v>611313.46418928006</v>
      </c>
    </row>
    <row r="112" spans="1:9">
      <c r="A112" s="5" t="s">
        <v>64</v>
      </c>
      <c r="B112" s="6">
        <v>45658</v>
      </c>
      <c r="C112" s="5">
        <v>739831.73</v>
      </c>
      <c r="D112" s="5">
        <v>62059.18</v>
      </c>
      <c r="E112" s="5">
        <v>9374</v>
      </c>
      <c r="F112" s="5">
        <v>87.1</v>
      </c>
      <c r="G112" s="5">
        <f>IF(F112="North",1,0)</f>
        <v>0</v>
      </c>
      <c r="H112">
        <f>-80484.1+(0.194328*D112)+(6.391292*E112)+(1576.133*F112)+(0*G112)</f>
        <v>128768.89183903999</v>
      </c>
      <c r="I112">
        <f>C112-H112</f>
        <v>611062.83816096</v>
      </c>
    </row>
    <row r="113" spans="1:9">
      <c r="A113" s="5" t="s">
        <v>97</v>
      </c>
      <c r="B113" s="6">
        <v>45717</v>
      </c>
      <c r="C113" s="5">
        <v>730890.01</v>
      </c>
      <c r="D113" s="5">
        <v>52843.75</v>
      </c>
      <c r="E113" s="5">
        <v>8268</v>
      </c>
      <c r="F113" s="5">
        <v>87.3</v>
      </c>
      <c r="G113" s="5">
        <f>IF(F113="North",1,0)</f>
        <v>0</v>
      </c>
      <c r="H113">
        <f>-80484.1+(0.194328*D113)+(6.391292*E113)+(1576.133*F113)+(0*G113)</f>
        <v>120224.53340599997</v>
      </c>
      <c r="I113">
        <f>C113-H113</f>
        <v>610665.47659400001</v>
      </c>
    </row>
    <row r="114" spans="1:9">
      <c r="A114" s="5" t="s">
        <v>68</v>
      </c>
      <c r="B114" s="6">
        <v>45748</v>
      </c>
      <c r="C114" s="5">
        <v>712546.38</v>
      </c>
      <c r="D114" s="5">
        <v>72784.800000000003</v>
      </c>
      <c r="E114" s="5">
        <v>7932</v>
      </c>
      <c r="F114" s="5">
        <v>74.900000000000006</v>
      </c>
      <c r="G114" s="5">
        <f>IF(F114="North",1,0)</f>
        <v>0</v>
      </c>
      <c r="H114">
        <f>-80484.1+(0.194328*D114)+(6.391292*E114)+(1576.133*F114)+(0*G114)</f>
        <v>102408.1144584</v>
      </c>
      <c r="I114">
        <f>C114-H114</f>
        <v>610138.26554160006</v>
      </c>
    </row>
    <row r="115" spans="1:9">
      <c r="A115" s="5" t="s">
        <v>97</v>
      </c>
      <c r="B115" s="6">
        <v>45689</v>
      </c>
      <c r="C115" s="5">
        <v>724346.73</v>
      </c>
      <c r="D115" s="5">
        <v>63986.98</v>
      </c>
      <c r="E115" s="5">
        <v>7989</v>
      </c>
      <c r="F115" s="5">
        <v>83.3</v>
      </c>
      <c r="G115" s="5">
        <f>IF(F115="North",1,0)</f>
        <v>0</v>
      </c>
      <c r="H115">
        <f>-80484.1+(0.194328*D115)+(6.391292*E115)+(1576.133*F115)+(0*G115)</f>
        <v>114302.27253744</v>
      </c>
      <c r="I115">
        <f>C115-H115</f>
        <v>610044.45746255992</v>
      </c>
    </row>
    <row r="116" spans="1:9">
      <c r="A116" s="5" t="s">
        <v>101</v>
      </c>
      <c r="B116" s="6">
        <v>45717</v>
      </c>
      <c r="C116" s="5">
        <v>726776.22</v>
      </c>
      <c r="D116" s="5">
        <v>81902.58</v>
      </c>
      <c r="E116" s="5">
        <v>7775</v>
      </c>
      <c r="F116" s="5">
        <v>85.2</v>
      </c>
      <c r="G116" s="5">
        <f>IF(F116="North",1,0)</f>
        <v>0</v>
      </c>
      <c r="H116">
        <f>-80484.1+(0.194328*D116)+(6.391292*E116)+(1576.133*F116)+(0*G116)</f>
        <v>119410.69146624001</v>
      </c>
      <c r="I116">
        <f>C116-H116</f>
        <v>607365.52853375999</v>
      </c>
    </row>
    <row r="117" spans="1:9">
      <c r="A117" s="5" t="s">
        <v>77</v>
      </c>
      <c r="B117" s="6">
        <v>45717</v>
      </c>
      <c r="C117" s="5">
        <v>732667.92</v>
      </c>
      <c r="D117" s="5">
        <v>66962.740000000005</v>
      </c>
      <c r="E117" s="5">
        <v>7880</v>
      </c>
      <c r="F117" s="5">
        <v>90.4</v>
      </c>
      <c r="G117" s="5">
        <f>IF(F117="North",1,0)</f>
        <v>0</v>
      </c>
      <c r="H117">
        <f>-80484.1+(0.194328*D117)+(6.391292*E117)+(1576.133*F117)+(0*G117)</f>
        <v>125374.43949872002</v>
      </c>
      <c r="I117">
        <f>C117-H117</f>
        <v>607293.48050128005</v>
      </c>
    </row>
    <row r="118" spans="1:9">
      <c r="A118" s="5" t="s">
        <v>98</v>
      </c>
      <c r="B118" s="6">
        <v>45658</v>
      </c>
      <c r="C118" s="5">
        <v>727957.48</v>
      </c>
      <c r="D118" s="5">
        <v>54948.02</v>
      </c>
      <c r="E118" s="5">
        <v>6534</v>
      </c>
      <c r="F118" s="5">
        <v>94.5</v>
      </c>
      <c r="G118" s="5">
        <f>IF(F118="North",1,0)</f>
        <v>0</v>
      </c>
      <c r="H118">
        <f>-80484.1+(0.194328*D118)+(6.391292*E118)+(1576.133*F118)+(0*G118)</f>
        <v>120899.10925856</v>
      </c>
      <c r="I118">
        <f>C118-H118</f>
        <v>607058.37074143998</v>
      </c>
    </row>
    <row r="119" spans="1:9">
      <c r="A119" s="5" t="s">
        <v>59</v>
      </c>
      <c r="B119" s="6">
        <v>45748</v>
      </c>
      <c r="C119" s="5">
        <v>725847.99</v>
      </c>
      <c r="D119" s="5">
        <v>71855.09</v>
      </c>
      <c r="E119" s="5">
        <v>5911</v>
      </c>
      <c r="F119" s="5">
        <v>94.3</v>
      </c>
      <c r="G119" s="5">
        <f>IF(F119="North",1,0)</f>
        <v>0</v>
      </c>
      <c r="H119">
        <f>-80484.1+(0.194328*D119)+(6.391292*E119)+(1576.133*F119)+(0*G119)</f>
        <v>119887.62484152</v>
      </c>
      <c r="I119">
        <f>C119-H119</f>
        <v>605960.36515848001</v>
      </c>
    </row>
    <row r="120" spans="1:9">
      <c r="A120" s="5" t="s">
        <v>57</v>
      </c>
      <c r="B120" s="6">
        <v>45658</v>
      </c>
      <c r="C120" s="5">
        <v>715890.53</v>
      </c>
      <c r="D120" s="5">
        <v>51430.31</v>
      </c>
      <c r="E120" s="5">
        <v>6427</v>
      </c>
      <c r="F120" s="5">
        <v>88.8</v>
      </c>
      <c r="G120" s="5">
        <f>IF(F120="North",1,0)</f>
        <v>0</v>
      </c>
      <c r="H120">
        <f>-80484.1+(0.194328*D120)+(6.391292*E120)+(1576.133*F120)+(0*G120)</f>
        <v>110547.69336568</v>
      </c>
      <c r="I120">
        <f>C120-H120</f>
        <v>605342.83663431997</v>
      </c>
    </row>
    <row r="121" spans="1:9">
      <c r="A121" s="5" t="s">
        <v>51</v>
      </c>
      <c r="B121" s="6">
        <v>45748</v>
      </c>
      <c r="C121" s="5">
        <v>735480.19</v>
      </c>
      <c r="D121" s="5">
        <v>54968.98</v>
      </c>
      <c r="E121" s="5">
        <v>7816</v>
      </c>
      <c r="F121" s="5">
        <v>95.7</v>
      </c>
      <c r="G121" s="5">
        <f>IF(F121="North",1,0)</f>
        <v>0</v>
      </c>
      <c r="H121">
        <f>-80484.1+(0.194328*D121)+(6.391292*E121)+(1576.133*F121)+(0*G121)</f>
        <v>130988.17831744</v>
      </c>
      <c r="I121">
        <f>C121-H121</f>
        <v>604492.01168255997</v>
      </c>
    </row>
    <row r="122" spans="1:9">
      <c r="A122" s="5" t="s">
        <v>77</v>
      </c>
      <c r="B122" s="6">
        <v>45748</v>
      </c>
      <c r="C122" s="5">
        <v>723531.4</v>
      </c>
      <c r="D122" s="5">
        <v>73540.990000000005</v>
      </c>
      <c r="E122" s="5">
        <v>8773</v>
      </c>
      <c r="F122" s="5">
        <v>84.4</v>
      </c>
      <c r="G122" s="5">
        <f>IF(F122="North",1,0)</f>
        <v>0</v>
      </c>
      <c r="H122">
        <f>-80484.1+(0.194328*D122)+(6.391292*E122)+(1576.133*F122)+(0*G122)</f>
        <v>122903.40342072</v>
      </c>
      <c r="I122">
        <f>C122-H122</f>
        <v>600627.99657928001</v>
      </c>
    </row>
    <row r="123" spans="1:9">
      <c r="A123" s="5" t="s">
        <v>90</v>
      </c>
      <c r="B123" s="6">
        <v>45748</v>
      </c>
      <c r="C123" s="5">
        <v>686737.87</v>
      </c>
      <c r="D123" s="5">
        <v>38297.58</v>
      </c>
      <c r="E123" s="5">
        <v>5893</v>
      </c>
      <c r="F123" s="5">
        <v>77.599999999999994</v>
      </c>
      <c r="G123" s="5">
        <f>IF(F123="North",1,0)</f>
        <v>0</v>
      </c>
      <c r="H123">
        <f>-80484.1+(0.194328*D123)+(6.391292*E123)+(1576.133*F123)+(0*G123)</f>
        <v>86929.996682239987</v>
      </c>
      <c r="I123">
        <f>C123-H123</f>
        <v>599807.87331775995</v>
      </c>
    </row>
    <row r="124" spans="1:9">
      <c r="A124" s="5" t="s">
        <v>19</v>
      </c>
      <c r="B124" s="6">
        <v>45717</v>
      </c>
      <c r="C124" s="5">
        <v>723060.76</v>
      </c>
      <c r="D124" s="5">
        <v>34285.21</v>
      </c>
      <c r="E124" s="5">
        <v>9172</v>
      </c>
      <c r="F124" s="5">
        <v>88.3</v>
      </c>
      <c r="G124" s="5">
        <f>IF(F124="North",1,0)</f>
        <v>0</v>
      </c>
      <c r="H124">
        <f>-80484.1+(0.194328*D124)+(6.391292*E124)+(1576.133*F124)+(0*G124)</f>
        <v>123971.95041287999</v>
      </c>
      <c r="I124">
        <f>C124-H124</f>
        <v>599088.80958712008</v>
      </c>
    </row>
    <row r="125" spans="1:9">
      <c r="A125" s="5" t="s">
        <v>22</v>
      </c>
      <c r="B125" s="6">
        <v>45689</v>
      </c>
      <c r="C125" s="5">
        <v>726606.28</v>
      </c>
      <c r="D125" s="5">
        <v>55716.82</v>
      </c>
      <c r="E125" s="5">
        <v>10054</v>
      </c>
      <c r="F125" s="5">
        <v>84.9</v>
      </c>
      <c r="G125" s="5">
        <f>IF(F125="North",1,0)</f>
        <v>0</v>
      </c>
      <c r="H125">
        <f>-80484.1+(0.194328*D125)+(6.391292*E125)+(1576.133*F125)+(0*G125)</f>
        <v>128414.97966496002</v>
      </c>
      <c r="I125">
        <f>C125-H125</f>
        <v>598191.30033503997</v>
      </c>
    </row>
    <row r="126" spans="1:9">
      <c r="A126" s="5" t="s">
        <v>17</v>
      </c>
      <c r="B126" s="6">
        <v>45658</v>
      </c>
      <c r="C126" s="5">
        <v>741341.44</v>
      </c>
      <c r="D126" s="5">
        <v>48412.639999999999</v>
      </c>
      <c r="E126" s="5">
        <v>9545</v>
      </c>
      <c r="F126" s="5">
        <v>97.6</v>
      </c>
      <c r="G126" s="5">
        <f>IF(F126="North",1,0)</f>
        <v>0</v>
      </c>
      <c r="H126">
        <f>-80484.1+(0.194328*D126)+(6.391292*E126)+(1576.133*F126)+(0*G126)</f>
        <v>143759.29444591998</v>
      </c>
      <c r="I126">
        <f>C126-H126</f>
        <v>597582.14555407991</v>
      </c>
    </row>
    <row r="127" spans="1:9">
      <c r="A127" s="5" t="s">
        <v>57</v>
      </c>
      <c r="B127" s="6">
        <v>45689</v>
      </c>
      <c r="C127" s="5">
        <v>715097.57</v>
      </c>
      <c r="D127" s="5">
        <v>45706.49</v>
      </c>
      <c r="E127" s="5">
        <v>6704</v>
      </c>
      <c r="F127" s="5">
        <v>94.2</v>
      </c>
      <c r="G127" s="5">
        <f>IF(F127="North",1,0)</f>
        <v>0</v>
      </c>
      <c r="H127">
        <f>-80484.1+(0.194328*D127)+(6.391292*E127)+(1576.133*F127)+(0*G127)</f>
        <v>119716.90095672</v>
      </c>
      <c r="I127">
        <f>C127-H127</f>
        <v>595380.66904327995</v>
      </c>
    </row>
    <row r="128" spans="1:9">
      <c r="A128" s="5" t="s">
        <v>86</v>
      </c>
      <c r="B128" s="6">
        <v>45689</v>
      </c>
      <c r="C128" s="5">
        <v>697888.09</v>
      </c>
      <c r="D128" s="5">
        <v>28670.43</v>
      </c>
      <c r="E128" s="5">
        <v>7574</v>
      </c>
      <c r="F128" s="5">
        <v>82.7</v>
      </c>
      <c r="G128" s="5">
        <f>IF(F128="North",1,0)</f>
        <v>0</v>
      </c>
      <c r="H128">
        <f>-80484.1+(0.194328*D128)+(6.391292*E128)+(1576.133*F128)+(0*G128)</f>
        <v>103841.21202904001</v>
      </c>
      <c r="I128">
        <f>C128-H128</f>
        <v>594046.87797095999</v>
      </c>
    </row>
    <row r="129" spans="1:9">
      <c r="A129" s="5" t="s">
        <v>92</v>
      </c>
      <c r="B129" s="6">
        <v>45717</v>
      </c>
      <c r="C129" s="5">
        <v>714083.68</v>
      </c>
      <c r="D129" s="5">
        <v>66104.19</v>
      </c>
      <c r="E129" s="5">
        <v>5745</v>
      </c>
      <c r="F129" s="5">
        <v>95.8</v>
      </c>
      <c r="G129" s="5">
        <f>IF(F129="North",1,0)</f>
        <v>0</v>
      </c>
      <c r="H129">
        <f>-80484.1+(0.194328*D129)+(6.391292*E129)+(1576.133*F129)+(0*G129)</f>
        <v>120073.30897431998</v>
      </c>
      <c r="I129">
        <f>C129-H129</f>
        <v>594010.3710256801</v>
      </c>
    </row>
    <row r="130" spans="1:9">
      <c r="A130" s="5" t="s">
        <v>51</v>
      </c>
      <c r="B130" s="6">
        <v>45658</v>
      </c>
      <c r="C130" s="5">
        <v>714942.43</v>
      </c>
      <c r="D130" s="5">
        <v>43685.14</v>
      </c>
      <c r="E130" s="5">
        <v>7821</v>
      </c>
      <c r="F130" s="5">
        <v>91</v>
      </c>
      <c r="G130" s="5">
        <f>IF(F130="North",1,0)</f>
        <v>0</v>
      </c>
      <c r="H130">
        <f>-80484.1+(0.194328*D130)+(6.391292*E130)+(1576.133*F130)+(0*G130)</f>
        <v>121419.54361791999</v>
      </c>
      <c r="I130">
        <f>C130-H130</f>
        <v>593522.88638208003</v>
      </c>
    </row>
    <row r="131" spans="1:9">
      <c r="A131" s="5" t="s">
        <v>100</v>
      </c>
      <c r="B131" s="6">
        <v>45658</v>
      </c>
      <c r="C131" s="5">
        <v>702052.47</v>
      </c>
      <c r="D131" s="5">
        <v>78967.520000000004</v>
      </c>
      <c r="E131" s="5">
        <v>6164</v>
      </c>
      <c r="F131" s="5">
        <v>85.5</v>
      </c>
      <c r="G131" s="5">
        <f>IF(F131="North",1,0)</f>
        <v>0</v>
      </c>
      <c r="H131">
        <f>-80484.1+(0.194328*D131)+(6.391292*E131)+(1576.133*F131)+(0*G131)</f>
        <v>109016.79561455999</v>
      </c>
      <c r="I131">
        <f>C131-H131</f>
        <v>593035.67438543995</v>
      </c>
    </row>
    <row r="132" spans="1:9">
      <c r="A132" s="5" t="s">
        <v>26</v>
      </c>
      <c r="B132" s="6">
        <v>45748</v>
      </c>
      <c r="C132" s="5">
        <v>701641.97</v>
      </c>
      <c r="D132" s="5">
        <v>52715.1</v>
      </c>
      <c r="E132" s="5">
        <v>7223</v>
      </c>
      <c r="F132" s="5">
        <v>84.2</v>
      </c>
      <c r="G132" s="5">
        <f>IF(F132="North",1,0)</f>
        <v>0</v>
      </c>
      <c r="H132">
        <f>-80484.1+(0.194328*D132)+(6.391292*E132)+(1576.133*F132)+(0*G132)</f>
        <v>108634.62066879999</v>
      </c>
      <c r="I132">
        <f>C132-H132</f>
        <v>593007.34933120001</v>
      </c>
    </row>
    <row r="133" spans="1:9">
      <c r="A133" s="5" t="s">
        <v>77</v>
      </c>
      <c r="B133" s="6">
        <v>45658</v>
      </c>
      <c r="C133" s="5">
        <v>712219.81</v>
      </c>
      <c r="D133" s="5">
        <v>53367.73</v>
      </c>
      <c r="E133" s="5">
        <v>7291</v>
      </c>
      <c r="F133" s="5">
        <v>90.6</v>
      </c>
      <c r="G133" s="5">
        <f>IF(F133="North",1,0)</f>
        <v>0</v>
      </c>
      <c r="H133">
        <f>-80484.1+(0.194328*D133)+(6.391292*E133)+(1576.133*F133)+(0*G133)</f>
        <v>119283.30400743999</v>
      </c>
      <c r="I133">
        <f>C133-H133</f>
        <v>592936.50599256007</v>
      </c>
    </row>
    <row r="134" spans="1:9">
      <c r="A134" s="5" t="s">
        <v>65</v>
      </c>
      <c r="B134" s="6">
        <v>45689</v>
      </c>
      <c r="C134" s="5">
        <v>721364.11</v>
      </c>
      <c r="D134" s="5">
        <v>43645.98</v>
      </c>
      <c r="E134" s="5">
        <v>9480</v>
      </c>
      <c r="F134" s="5">
        <v>89</v>
      </c>
      <c r="G134" s="5">
        <f>IF(F134="North",1,0)</f>
        <v>0</v>
      </c>
      <c r="H134">
        <f>-80484.1+(0.194328*D134)+(6.391292*E134)+(1576.133*F134)+(0*G134)</f>
        <v>128862.82116143999</v>
      </c>
      <c r="I134">
        <f>C134-H134</f>
        <v>592501.28883855999</v>
      </c>
    </row>
    <row r="135" spans="1:9">
      <c r="A135" s="5" t="s">
        <v>38</v>
      </c>
      <c r="B135" s="6">
        <v>45689</v>
      </c>
      <c r="C135" s="5">
        <v>717141.55</v>
      </c>
      <c r="D135" s="5">
        <v>51148.69</v>
      </c>
      <c r="E135" s="5">
        <v>7940</v>
      </c>
      <c r="F135" s="5">
        <v>93.3</v>
      </c>
      <c r="G135" s="5">
        <f>IF(F135="North",1,0)</f>
        <v>0</v>
      </c>
      <c r="H135">
        <f>-80484.1+(0.194328*D135)+(6.391292*E135)+(1576.133*F135)+(0*G135)</f>
        <v>127255.59001031998</v>
      </c>
      <c r="I135">
        <f>C135-H135</f>
        <v>589885.95998968009</v>
      </c>
    </row>
    <row r="136" spans="1:9">
      <c r="A136" s="5" t="s">
        <v>53</v>
      </c>
      <c r="B136" s="6">
        <v>45748</v>
      </c>
      <c r="C136" s="5">
        <v>697155.3</v>
      </c>
      <c r="D136" s="5">
        <v>37828.5</v>
      </c>
      <c r="E136" s="5">
        <v>8221</v>
      </c>
      <c r="F136" s="5">
        <v>81.5</v>
      </c>
      <c r="G136" s="5">
        <f>IF(F136="North",1,0)</f>
        <v>0</v>
      </c>
      <c r="H136">
        <f>-80484.1+(0.194328*D136)+(6.391292*E136)+(1576.133*F136)+(0*G136)</f>
        <v>107864.68778000001</v>
      </c>
      <c r="I136">
        <f>C136-H136</f>
        <v>589290.61222000001</v>
      </c>
    </row>
    <row r="137" spans="1:9">
      <c r="A137" s="5" t="s">
        <v>50</v>
      </c>
      <c r="B137" s="6">
        <v>45748</v>
      </c>
      <c r="C137" s="5">
        <v>718074.79</v>
      </c>
      <c r="D137" s="5">
        <v>25990.54</v>
      </c>
      <c r="E137" s="5">
        <v>9249</v>
      </c>
      <c r="F137" s="5">
        <v>92.5</v>
      </c>
      <c r="G137" s="5">
        <f>IF(F137="North",1,0)</f>
        <v>0</v>
      </c>
      <c r="H137">
        <f>-80484.1+(0.194328*D137)+(6.391292*E137)+(1576.133*F137)+(0*G137)</f>
        <v>129471.95186511999</v>
      </c>
      <c r="I137">
        <f>C137-H137</f>
        <v>588602.83813488006</v>
      </c>
    </row>
    <row r="138" spans="1:9">
      <c r="A138" s="5" t="s">
        <v>31</v>
      </c>
      <c r="B138" s="6">
        <v>45689</v>
      </c>
      <c r="C138" s="5">
        <v>718330.53</v>
      </c>
      <c r="D138" s="5">
        <v>61245.41</v>
      </c>
      <c r="E138" s="5">
        <v>8156</v>
      </c>
      <c r="F138" s="5">
        <v>92.9</v>
      </c>
      <c r="G138" s="5">
        <f>IF(F138="North",1,0)</f>
        <v>0</v>
      </c>
      <c r="H138">
        <f>-80484.1+(0.194328*D138)+(6.391292*E138)+(1576.133*F138)+(0*G138)</f>
        <v>129967.73128648</v>
      </c>
      <c r="I138">
        <f>C138-H138</f>
        <v>588362.79871352005</v>
      </c>
    </row>
    <row r="139" spans="1:9">
      <c r="A139" s="5" t="s">
        <v>61</v>
      </c>
      <c r="B139" s="6">
        <v>45658</v>
      </c>
      <c r="C139" s="5">
        <v>700078.32</v>
      </c>
      <c r="D139" s="5">
        <v>86883.31</v>
      </c>
      <c r="E139" s="5">
        <v>6424</v>
      </c>
      <c r="F139" s="5">
        <v>85.2</v>
      </c>
      <c r="G139" s="5">
        <f>IF(F139="North",1,0)</f>
        <v>0</v>
      </c>
      <c r="H139">
        <f>-80484.1+(0.194328*D139)+(6.391292*E139)+(1576.133*F139)+(0*G139)</f>
        <v>111743.95127368001</v>
      </c>
      <c r="I139">
        <f>C139-H139</f>
        <v>588334.36872631998</v>
      </c>
    </row>
    <row r="140" spans="1:9">
      <c r="A140" s="5" t="s">
        <v>81</v>
      </c>
      <c r="B140" s="6">
        <v>45658</v>
      </c>
      <c r="C140" s="5">
        <v>721079.35</v>
      </c>
      <c r="D140" s="5">
        <v>46495.4</v>
      </c>
      <c r="E140" s="5">
        <v>9908</v>
      </c>
      <c r="F140" s="5">
        <v>89.4</v>
      </c>
      <c r="G140" s="5">
        <f>IF(F140="North",1,0)</f>
        <v>0</v>
      </c>
      <c r="H140">
        <f>-80484.1+(0.194328*D140)+(6.391292*E140)+(1576.133*F140)+(0*G140)</f>
        <v>132782.46942720001</v>
      </c>
      <c r="I140">
        <f>C140-H140</f>
        <v>588296.88057279994</v>
      </c>
    </row>
    <row r="141" spans="1:9">
      <c r="A141" s="5" t="s">
        <v>41</v>
      </c>
      <c r="B141" s="6">
        <v>45689</v>
      </c>
      <c r="C141" s="5">
        <v>691112.6</v>
      </c>
      <c r="D141" s="5">
        <v>54872.82</v>
      </c>
      <c r="E141" s="5">
        <v>5962</v>
      </c>
      <c r="F141" s="5">
        <v>85.4</v>
      </c>
      <c r="G141" s="5">
        <f>IF(F141="North",1,0)</f>
        <v>0</v>
      </c>
      <c r="H141">
        <f>-80484.1+(0.194328*D141)+(6.391292*E141)+(1576.133*F141)+(0*G141)</f>
        <v>102885.86646896</v>
      </c>
      <c r="I141">
        <f>C141-H141</f>
        <v>588226.73353104002</v>
      </c>
    </row>
    <row r="142" spans="1:9">
      <c r="A142" s="5" t="s">
        <v>63</v>
      </c>
      <c r="B142" s="6">
        <v>45689</v>
      </c>
      <c r="C142" s="5">
        <v>706285.52</v>
      </c>
      <c r="D142" s="5">
        <v>35303.300000000003</v>
      </c>
      <c r="E142" s="5">
        <v>8789</v>
      </c>
      <c r="F142" s="5">
        <v>86.1</v>
      </c>
      <c r="G142" s="5">
        <f>IF(F142="North",1,0)</f>
        <v>0</v>
      </c>
      <c r="H142">
        <f>-80484.1+(0.194328*D142)+(6.391292*E142)+(1576.133*F142)+(0*G142)</f>
        <v>118254.43637039998</v>
      </c>
      <c r="I142">
        <f>C142-H142</f>
        <v>588031.08362960001</v>
      </c>
    </row>
    <row r="143" spans="1:9">
      <c r="A143" s="5" t="s">
        <v>100</v>
      </c>
      <c r="B143" s="6">
        <v>45717</v>
      </c>
      <c r="C143" s="5">
        <v>712375.77</v>
      </c>
      <c r="D143" s="5">
        <v>62507.16</v>
      </c>
      <c r="E143" s="5">
        <v>6000</v>
      </c>
      <c r="F143" s="5">
        <v>98.2</v>
      </c>
      <c r="G143" s="5">
        <f>IF(F143="North",1,0)</f>
        <v>0</v>
      </c>
      <c r="H143">
        <f>-80484.1+(0.194328*D143)+(6.391292*E143)+(1576.133*F143)+(0*G143)</f>
        <v>124786.80398848001</v>
      </c>
      <c r="I143">
        <f>C143-H143</f>
        <v>587588.96601152001</v>
      </c>
    </row>
    <row r="144" spans="1:9">
      <c r="A144" s="5" t="s">
        <v>59</v>
      </c>
      <c r="B144" s="6">
        <v>45689</v>
      </c>
      <c r="C144" s="5">
        <v>712868.35</v>
      </c>
      <c r="D144" s="5">
        <v>43319.94</v>
      </c>
      <c r="E144" s="5">
        <v>6551</v>
      </c>
      <c r="F144" s="5">
        <v>99</v>
      </c>
      <c r="G144" s="5">
        <f>IF(F144="North",1,0)</f>
        <v>0</v>
      </c>
      <c r="H144">
        <f>-80484.1+(0.194328*D144)+(6.391292*E144)+(1576.133*F144)+(0*G144)</f>
        <v>125840.69819232001</v>
      </c>
      <c r="I144">
        <f>C144-H144</f>
        <v>587027.65180768003</v>
      </c>
    </row>
    <row r="145" spans="1:9">
      <c r="A145" s="5" t="s">
        <v>54</v>
      </c>
      <c r="B145" s="6">
        <v>45717</v>
      </c>
      <c r="C145" s="5">
        <v>725235.28</v>
      </c>
      <c r="D145" s="5">
        <v>50735.63</v>
      </c>
      <c r="E145" s="5">
        <v>9619</v>
      </c>
      <c r="F145" s="5">
        <v>93.8</v>
      </c>
      <c r="G145" s="5">
        <f>IF(F145="North",1,0)</f>
        <v>0</v>
      </c>
      <c r="H145">
        <f>-80484.1+(0.194328*D145)+(6.391292*E145)+(1576.133*F145)+(0*G145)</f>
        <v>138694.36665464001</v>
      </c>
      <c r="I145">
        <f>C145-H145</f>
        <v>586540.91334535996</v>
      </c>
    </row>
    <row r="146" spans="1:9">
      <c r="A146" s="5" t="s">
        <v>60</v>
      </c>
      <c r="B146" s="6">
        <v>45689</v>
      </c>
      <c r="C146" s="5">
        <v>698492.67</v>
      </c>
      <c r="D146" s="5">
        <v>64374.75</v>
      </c>
      <c r="E146" s="5">
        <v>6740</v>
      </c>
      <c r="F146" s="5">
        <v>87</v>
      </c>
      <c r="G146" s="5">
        <f>IF(F146="North",1,0)</f>
        <v>0</v>
      </c>
      <c r="H146">
        <f>-80484.1+(0.194328*D146)+(6.391292*E146)+(1576.133*F146)+(0*G146)</f>
        <v>112226.595498</v>
      </c>
      <c r="I146">
        <f>C146-H146</f>
        <v>586266.074502</v>
      </c>
    </row>
    <row r="147" spans="1:9">
      <c r="A147" s="5" t="s">
        <v>71</v>
      </c>
      <c r="B147" s="6">
        <v>45658</v>
      </c>
      <c r="C147" s="5">
        <v>691447.43</v>
      </c>
      <c r="D147" s="5">
        <v>71851.45</v>
      </c>
      <c r="E147" s="5">
        <v>4970</v>
      </c>
      <c r="F147" s="5">
        <v>89.6</v>
      </c>
      <c r="G147" s="5">
        <f>IF(F147="North",1,0)</f>
        <v>0</v>
      </c>
      <c r="H147">
        <f>-80484.1+(0.194328*D147)+(6.391292*E147)+(1576.133*F147)+(0*G147)</f>
        <v>106464.88661559997</v>
      </c>
      <c r="I147">
        <f>C147-H147</f>
        <v>584982.54338440008</v>
      </c>
    </row>
    <row r="148" spans="1:9">
      <c r="A148" s="5" t="s">
        <v>87</v>
      </c>
      <c r="B148" s="6">
        <v>45717</v>
      </c>
      <c r="C148" s="5">
        <v>677640.65</v>
      </c>
      <c r="D148" s="5">
        <v>51450.55</v>
      </c>
      <c r="E148" s="5">
        <v>4902</v>
      </c>
      <c r="F148" s="5">
        <v>83.7</v>
      </c>
      <c r="G148" s="5">
        <f>IF(F148="North",1,0)</f>
        <v>0</v>
      </c>
      <c r="H148">
        <f>-80484.1+(0.194328*D148)+(6.391292*E148)+(1576.133*F148)+(0*G148)</f>
        <v>92766.627964399988</v>
      </c>
      <c r="I148">
        <f>C148-H148</f>
        <v>584874.02203560004</v>
      </c>
    </row>
    <row r="149" spans="1:9">
      <c r="A149" s="5" t="s">
        <v>97</v>
      </c>
      <c r="B149" s="6">
        <v>45658</v>
      </c>
      <c r="C149" s="5">
        <v>703812.99</v>
      </c>
      <c r="D149" s="5">
        <v>40647.67</v>
      </c>
      <c r="E149" s="5">
        <v>8252</v>
      </c>
      <c r="F149" s="5">
        <v>88.2</v>
      </c>
      <c r="G149" s="5">
        <f>IF(F149="North",1,0)</f>
        <v>0</v>
      </c>
      <c r="H149">
        <f>-80484.1+(0.194328*D149)+(6.391292*E149)+(1576.133*F149)+(0*G149)</f>
        <v>119170.75259976002</v>
      </c>
      <c r="I149">
        <f>C149-H149</f>
        <v>584642.23740024003</v>
      </c>
    </row>
    <row r="150" spans="1:9">
      <c r="A150" s="5" t="s">
        <v>60</v>
      </c>
      <c r="B150" s="6">
        <v>45748</v>
      </c>
      <c r="C150" s="5">
        <v>702318.94</v>
      </c>
      <c r="D150" s="5">
        <v>42698.14</v>
      </c>
      <c r="E150" s="5">
        <v>7693</v>
      </c>
      <c r="F150" s="5">
        <v>90.1</v>
      </c>
      <c r="G150" s="5">
        <f>IF(F150="North",1,0)</f>
        <v>0</v>
      </c>
      <c r="H150">
        <f>-80484.1+(0.194328*D150)+(6.391292*E150)+(1576.133*F150)+(0*G150)</f>
        <v>118991.13680591999</v>
      </c>
      <c r="I150">
        <f>C150-H150</f>
        <v>583327.80319408001</v>
      </c>
    </row>
    <row r="151" spans="1:9">
      <c r="A151" s="5" t="s">
        <v>59</v>
      </c>
      <c r="B151" s="6">
        <v>45717</v>
      </c>
      <c r="C151" s="5">
        <v>696744.15</v>
      </c>
      <c r="D151" s="5">
        <v>47093.55</v>
      </c>
      <c r="E151" s="5">
        <v>5550</v>
      </c>
      <c r="F151" s="5">
        <v>95</v>
      </c>
      <c r="G151" s="5">
        <f>IF(F151="North",1,0)</f>
        <v>0</v>
      </c>
      <c r="H151">
        <f>-80484.1+(0.194328*D151)+(6.391292*E151)+(1576.133*F151)+(0*G151)</f>
        <v>113871.8009844</v>
      </c>
      <c r="I151">
        <f>C151-H151</f>
        <v>582872.34901560005</v>
      </c>
    </row>
    <row r="152" spans="1:9">
      <c r="A152" s="5" t="s">
        <v>42</v>
      </c>
      <c r="B152" s="6">
        <v>45689</v>
      </c>
      <c r="C152" s="5">
        <v>682208.01</v>
      </c>
      <c r="D152" s="5">
        <v>60628.38</v>
      </c>
      <c r="E152" s="5">
        <v>4451</v>
      </c>
      <c r="F152" s="5">
        <v>89.6</v>
      </c>
      <c r="G152" s="5">
        <f>IF(F152="North",1,0)</f>
        <v>0</v>
      </c>
      <c r="H152">
        <f>-80484.1+(0.194328*D152)+(6.391292*E152)+(1576.133*F152)+(0*G152)</f>
        <v>100966.84932063997</v>
      </c>
      <c r="I152">
        <f>C152-H152</f>
        <v>581241.16067936004</v>
      </c>
    </row>
    <row r="153" spans="1:9">
      <c r="A153" s="5" t="s">
        <v>62</v>
      </c>
      <c r="B153" s="6">
        <v>45717</v>
      </c>
      <c r="C153" s="5">
        <v>677096.71</v>
      </c>
      <c r="D153" s="5">
        <v>57143.3</v>
      </c>
      <c r="E153" s="5">
        <v>8038</v>
      </c>
      <c r="F153" s="5">
        <v>72.599999999999994</v>
      </c>
      <c r="G153" s="5">
        <f>IF(F153="North",1,0)</f>
        <v>0</v>
      </c>
      <c r="H153">
        <f>-80484.1+(0.194328*D153)+(6.391292*E153)+(1576.133*F153)+(0*G153)</f>
        <v>96420.904098400002</v>
      </c>
      <c r="I153">
        <f>C153-H153</f>
        <v>580675.80590159993</v>
      </c>
    </row>
    <row r="154" spans="1:9">
      <c r="A154" s="5" t="s">
        <v>88</v>
      </c>
      <c r="B154" s="6">
        <v>45658</v>
      </c>
      <c r="C154" s="5">
        <v>708985.19</v>
      </c>
      <c r="D154" s="5">
        <v>58981.91</v>
      </c>
      <c r="E154" s="5">
        <v>7324</v>
      </c>
      <c r="F154" s="5">
        <v>95.8</v>
      </c>
      <c r="G154" s="5">
        <f>IF(F154="North",1,0)</f>
        <v>0</v>
      </c>
      <c r="H154">
        <f>-80484.1+(0.194328*D154)+(6.391292*E154)+(1576.133*F154)+(0*G154)</f>
        <v>128781.10061447999</v>
      </c>
      <c r="I154">
        <f>C154-H154</f>
        <v>580204.08938551997</v>
      </c>
    </row>
    <row r="155" spans="1:9">
      <c r="A155" s="5" t="s">
        <v>57</v>
      </c>
      <c r="B155" s="6">
        <v>45717</v>
      </c>
      <c r="C155" s="5">
        <v>682639.28</v>
      </c>
      <c r="D155" s="5">
        <v>44034.6</v>
      </c>
      <c r="E155" s="5">
        <v>5645</v>
      </c>
      <c r="F155" s="5">
        <v>88.5</v>
      </c>
      <c r="G155" s="5">
        <f>IF(F155="North",1,0)</f>
        <v>0</v>
      </c>
      <c r="H155">
        <f>-80484.1+(0.194328*D155)+(6.391292*E155)+(1576.133*F155)+(0*G155)</f>
        <v>103639.6695888</v>
      </c>
      <c r="I155">
        <f>C155-H155</f>
        <v>578999.61041119997</v>
      </c>
    </row>
    <row r="156" spans="1:9">
      <c r="A156" s="5" t="s">
        <v>57</v>
      </c>
      <c r="B156" s="6">
        <v>45748</v>
      </c>
      <c r="C156" s="5">
        <v>695098.51</v>
      </c>
      <c r="D156" s="5">
        <v>50198.12</v>
      </c>
      <c r="E156" s="5">
        <v>6089</v>
      </c>
      <c r="F156" s="5">
        <v>94</v>
      </c>
      <c r="G156" s="5">
        <f>IF(F156="North",1,0)</f>
        <v>0</v>
      </c>
      <c r="H156">
        <f>-80484.1+(0.194328*D156)+(6.391292*E156)+(1576.133*F156)+(0*G156)</f>
        <v>116343.87925136001</v>
      </c>
      <c r="I156">
        <f>C156-H156</f>
        <v>578754.63074864005</v>
      </c>
    </row>
    <row r="157" spans="1:9">
      <c r="A157" s="5" t="s">
        <v>76</v>
      </c>
      <c r="B157" s="6">
        <v>45658</v>
      </c>
      <c r="C157" s="5">
        <v>674289.1</v>
      </c>
      <c r="D157" s="5">
        <v>69180.539999999994</v>
      </c>
      <c r="E157" s="5">
        <v>5394</v>
      </c>
      <c r="F157" s="5">
        <v>82.9</v>
      </c>
      <c r="G157" s="5">
        <f>IF(F157="North",1,0)</f>
        <v>0</v>
      </c>
      <c r="H157">
        <f>-80484.1+(0.194328*D157)+(6.391292*E157)+(1576.133*F157)+(0*G157)</f>
        <v>98095.670725119999</v>
      </c>
      <c r="I157">
        <f>C157-H157</f>
        <v>576193.42927487998</v>
      </c>
    </row>
    <row r="158" spans="1:9">
      <c r="A158" s="5" t="s">
        <v>82</v>
      </c>
      <c r="B158" s="6">
        <v>45689</v>
      </c>
      <c r="C158" s="5">
        <v>676337.41</v>
      </c>
      <c r="D158" s="5">
        <v>51781.599999999999</v>
      </c>
      <c r="E158" s="5">
        <v>5648</v>
      </c>
      <c r="F158" s="5">
        <v>85.5</v>
      </c>
      <c r="G158" s="5">
        <f>IF(F158="North",1,0)</f>
        <v>0</v>
      </c>
      <c r="H158">
        <f>-80484.1+(0.194328*D158)+(6.391292*E158)+(1576.133*F158)+(0*G158)</f>
        <v>100435.90348080001</v>
      </c>
      <c r="I158">
        <f>C158-H158</f>
        <v>575901.50651920005</v>
      </c>
    </row>
    <row r="159" spans="1:9">
      <c r="A159" s="5" t="s">
        <v>46</v>
      </c>
      <c r="B159" s="6">
        <v>45658</v>
      </c>
      <c r="C159" s="5">
        <v>691113.62</v>
      </c>
      <c r="D159" s="5">
        <v>61132.07</v>
      </c>
      <c r="E159" s="5">
        <v>6394</v>
      </c>
      <c r="F159" s="5">
        <v>91</v>
      </c>
      <c r="G159" s="5">
        <f>IF(F159="North",1,0)</f>
        <v>0</v>
      </c>
      <c r="H159">
        <f>-80484.1+(0.194328*D159)+(6.391292*E159)+(1576.133*F159)+(0*G159)</f>
        <v>115689.59694695999</v>
      </c>
      <c r="I159">
        <f>C159-H159</f>
        <v>575424.02305304003</v>
      </c>
    </row>
    <row r="160" spans="1:9">
      <c r="A160" s="5" t="s">
        <v>94</v>
      </c>
      <c r="B160" s="6">
        <v>45748</v>
      </c>
      <c r="C160" s="5">
        <v>702068.92</v>
      </c>
      <c r="D160" s="5">
        <v>54080.91</v>
      </c>
      <c r="E160" s="5">
        <v>7083</v>
      </c>
      <c r="F160" s="5">
        <v>97</v>
      </c>
      <c r="G160" s="5">
        <f>IF(F160="North",1,0)</f>
        <v>0</v>
      </c>
      <c r="H160">
        <f>-80484.1+(0.194328*D160)+(6.391292*E160)+(1576.133*F160)+(0*G160)</f>
        <v>128179.75731448001</v>
      </c>
      <c r="I160">
        <f>C160-H160</f>
        <v>573889.16268552002</v>
      </c>
    </row>
    <row r="161" spans="1:9">
      <c r="A161" s="5" t="s">
        <v>94</v>
      </c>
      <c r="B161" s="6">
        <v>45689</v>
      </c>
      <c r="C161" s="5">
        <v>696261.49</v>
      </c>
      <c r="D161" s="5">
        <v>68909.259999999995</v>
      </c>
      <c r="E161" s="5">
        <v>7794</v>
      </c>
      <c r="F161" s="5">
        <v>89</v>
      </c>
      <c r="G161" s="5">
        <f>IF(F161="North",1,0)</f>
        <v>0</v>
      </c>
      <c r="H161">
        <f>-80484.1+(0.194328*D161)+(6.391292*E161)+(1576.133*F161)+(0*G161)</f>
        <v>122996.46552528</v>
      </c>
      <c r="I161">
        <f>C161-H161</f>
        <v>573265.02447472</v>
      </c>
    </row>
    <row r="162" spans="1:9">
      <c r="A162" s="5" t="s">
        <v>62</v>
      </c>
      <c r="B162" s="6">
        <v>45748</v>
      </c>
      <c r="C162" s="5">
        <v>692008.64</v>
      </c>
      <c r="D162" s="5">
        <v>66870.62</v>
      </c>
      <c r="E162" s="5">
        <v>6055</v>
      </c>
      <c r="F162" s="5">
        <v>93.8</v>
      </c>
      <c r="G162" s="5">
        <f>IF(F162="North",1,0)</f>
        <v>0</v>
      </c>
      <c r="H162">
        <f>-80484.1+(0.194328*D162)+(6.391292*E162)+(1576.133*F162)+(0*G162)</f>
        <v>119051.28230336</v>
      </c>
      <c r="I162">
        <f>C162-H162</f>
        <v>572957.35769664007</v>
      </c>
    </row>
    <row r="163" spans="1:9">
      <c r="A163" s="5" t="s">
        <v>50</v>
      </c>
      <c r="B163" s="6">
        <v>45717</v>
      </c>
      <c r="C163" s="5">
        <v>697287.9</v>
      </c>
      <c r="D163" s="5">
        <v>33605.18</v>
      </c>
      <c r="E163" s="5">
        <v>9225</v>
      </c>
      <c r="F163" s="5">
        <v>88.4</v>
      </c>
      <c r="G163" s="5">
        <f>IF(F163="North",1,0)</f>
        <v>0</v>
      </c>
      <c r="H163">
        <f>-80484.1+(0.194328*D163)+(6.391292*E163)+(1576.133*F163)+(0*G163)</f>
        <v>124336.15331904002</v>
      </c>
      <c r="I163">
        <f>C163-H163</f>
        <v>572951.74668096006</v>
      </c>
    </row>
    <row r="164" spans="1:9">
      <c r="A164" s="5" t="s">
        <v>76</v>
      </c>
      <c r="B164" s="6">
        <v>45717</v>
      </c>
      <c r="C164" s="5">
        <v>673348.56</v>
      </c>
      <c r="D164" s="5">
        <v>58785.33</v>
      </c>
      <c r="E164" s="5">
        <v>4467</v>
      </c>
      <c r="F164" s="5">
        <v>90.7</v>
      </c>
      <c r="G164" s="5">
        <f>IF(F164="North",1,0)</f>
        <v>0</v>
      </c>
      <c r="H164">
        <f>-80484.1+(0.194328*D164)+(6.391292*E164)+(1576.133*F164)+(0*G164)</f>
        <v>102444.70007224001</v>
      </c>
      <c r="I164">
        <f>C164-H164</f>
        <v>570903.85992776009</v>
      </c>
    </row>
    <row r="165" spans="1:9">
      <c r="A165" s="5" t="s">
        <v>39</v>
      </c>
      <c r="B165" s="6">
        <v>45748</v>
      </c>
      <c r="C165" s="5">
        <v>674774.09</v>
      </c>
      <c r="D165" s="5">
        <v>55081.16</v>
      </c>
      <c r="E165" s="5">
        <v>5485</v>
      </c>
      <c r="F165" s="5">
        <v>88</v>
      </c>
      <c r="G165" s="5">
        <f>IF(F165="North",1,0)</f>
        <v>0</v>
      </c>
      <c r="H165">
        <f>-80484.1+(0.194328*D165)+(6.391292*E165)+(1576.133*F165)+(0*G165)</f>
        <v>103975.65228047999</v>
      </c>
      <c r="I165">
        <f>C165-H165</f>
        <v>570798.43771951995</v>
      </c>
    </row>
    <row r="166" spans="1:9">
      <c r="A166" s="5" t="s">
        <v>46</v>
      </c>
      <c r="B166" s="6">
        <v>45748</v>
      </c>
      <c r="C166" s="5">
        <v>675177.68</v>
      </c>
      <c r="D166" s="5">
        <v>55101.1</v>
      </c>
      <c r="E166" s="5">
        <v>5281</v>
      </c>
      <c r="F166" s="5">
        <v>91</v>
      </c>
      <c r="G166" s="5">
        <f>IF(F166="North",1,0)</f>
        <v>0</v>
      </c>
      <c r="H166">
        <f>-80484.1+(0.194328*D166)+(6.391292*E166)+(1576.133*F166)+(0*G166)</f>
        <v>107404.10261279999</v>
      </c>
      <c r="I166">
        <f>C166-H166</f>
        <v>567773.57738720009</v>
      </c>
    </row>
    <row r="167" spans="1:9">
      <c r="A167" s="5" t="s">
        <v>98</v>
      </c>
      <c r="B167" s="6">
        <v>45717</v>
      </c>
      <c r="C167" s="5">
        <v>665342.49</v>
      </c>
      <c r="D167" s="5">
        <v>22387.26</v>
      </c>
      <c r="E167" s="5">
        <v>6301</v>
      </c>
      <c r="F167" s="5">
        <v>85.9</v>
      </c>
      <c r="G167" s="5">
        <f>IF(F167="North",1,0)</f>
        <v>0</v>
      </c>
      <c r="H167">
        <f>-80484.1+(0.194328*D167)+(6.391292*E167)+(1576.133*F167)+(0*G167)</f>
        <v>99527.727053280018</v>
      </c>
      <c r="I167">
        <f>C167-H167</f>
        <v>565814.76294672</v>
      </c>
    </row>
    <row r="168" spans="1:9">
      <c r="A168" s="5" t="s">
        <v>39</v>
      </c>
      <c r="B168" s="6">
        <v>45658</v>
      </c>
      <c r="C168" s="5">
        <v>661927.14</v>
      </c>
      <c r="D168" s="5">
        <v>70937.240000000005</v>
      </c>
      <c r="E168" s="5">
        <v>3595</v>
      </c>
      <c r="F168" s="5">
        <v>88.9</v>
      </c>
      <c r="G168" s="5">
        <f>IF(F168="North",1,0)</f>
        <v>0</v>
      </c>
      <c r="H168">
        <f>-80484.1+(0.194328*D168)+(6.391292*E168)+(1576.133*F168)+(0*G168)</f>
        <v>96395.910414719983</v>
      </c>
      <c r="I168">
        <f>C168-H168</f>
        <v>565531.22958528006</v>
      </c>
    </row>
    <row r="169" spans="1:9">
      <c r="A169" s="5" t="s">
        <v>74</v>
      </c>
      <c r="B169" s="6">
        <v>45689</v>
      </c>
      <c r="C169" s="5">
        <v>691288.19</v>
      </c>
      <c r="D169" s="5">
        <v>62949.7</v>
      </c>
      <c r="E169" s="5">
        <v>9458</v>
      </c>
      <c r="F169" s="5">
        <v>84.9</v>
      </c>
      <c r="G169" s="5">
        <f>IF(F169="North",1,0)</f>
        <v>0</v>
      </c>
      <c r="H169">
        <f>-80484.1+(0.194328*D169)+(6.391292*E169)+(1576.133*F169)+(0*G169)</f>
        <v>126011.32073760001</v>
      </c>
      <c r="I169">
        <f>C169-H169</f>
        <v>565276.86926239997</v>
      </c>
    </row>
    <row r="170" spans="1:9">
      <c r="A170" s="5" t="s">
        <v>32</v>
      </c>
      <c r="B170" s="6">
        <v>45717</v>
      </c>
      <c r="C170" s="5">
        <v>657429.18000000005</v>
      </c>
      <c r="D170" s="5">
        <v>68077.539999999994</v>
      </c>
      <c r="E170" s="5">
        <v>3360</v>
      </c>
      <c r="F170" s="5">
        <v>88.2</v>
      </c>
      <c r="G170" s="5">
        <f>IF(F170="North",1,0)</f>
        <v>0</v>
      </c>
      <c r="H170">
        <f>-80484.1+(0.194328*D170)+(6.391292*E170)+(1576.133*F170)+(0*G170)</f>
        <v>93234.94391312002</v>
      </c>
      <c r="I170">
        <f>C170-H170</f>
        <v>564194.23608688009</v>
      </c>
    </row>
    <row r="171" spans="1:9">
      <c r="A171" s="5" t="s">
        <v>68</v>
      </c>
      <c r="B171" s="6">
        <v>45689</v>
      </c>
      <c r="C171" s="5">
        <v>678311.17</v>
      </c>
      <c r="D171" s="5">
        <v>57147.88</v>
      </c>
      <c r="E171" s="5">
        <v>5252</v>
      </c>
      <c r="F171" s="5">
        <v>95.5</v>
      </c>
      <c r="G171" s="5">
        <f>IF(F171="North",1,0)</f>
        <v>0</v>
      </c>
      <c r="H171">
        <f>-80484.1+(0.194328*D171)+(6.391292*E171)+(1576.133*F171)+(0*G171)</f>
        <v>114709.10030863999</v>
      </c>
      <c r="I171">
        <f>C171-H171</f>
        <v>563602.06969136</v>
      </c>
    </row>
    <row r="172" spans="1:9">
      <c r="A172" s="5" t="s">
        <v>40</v>
      </c>
      <c r="B172" s="6">
        <v>45748</v>
      </c>
      <c r="C172" s="5">
        <v>680840.36</v>
      </c>
      <c r="D172" s="5">
        <v>58749.63</v>
      </c>
      <c r="E172" s="5">
        <v>8252</v>
      </c>
      <c r="F172" s="5">
        <v>85.2</v>
      </c>
      <c r="G172" s="5">
        <f>IF(F172="North",1,0)</f>
        <v>0</v>
      </c>
      <c r="H172">
        <f>-80484.1+(0.194328*D172)+(6.391292*E172)+(1576.133*F172)+(0*G172)</f>
        <v>117960.07128264001</v>
      </c>
      <c r="I172">
        <f>C172-H172</f>
        <v>562880.28871736</v>
      </c>
    </row>
    <row r="173" spans="1:9">
      <c r="A173" s="5" t="s">
        <v>64</v>
      </c>
      <c r="B173" s="6">
        <v>45748</v>
      </c>
      <c r="C173" s="5">
        <v>679731.57</v>
      </c>
      <c r="D173" s="5">
        <v>36606.51</v>
      </c>
      <c r="E173" s="5">
        <v>7671</v>
      </c>
      <c r="F173" s="5">
        <v>89.8</v>
      </c>
      <c r="G173" s="5">
        <f>IF(F173="North",1,0)</f>
        <v>0</v>
      </c>
      <c r="H173">
        <f>-80484.1+(0.194328*D173)+(6.391292*E173)+(1576.133*F173)+(0*G173)</f>
        <v>117193.91420728</v>
      </c>
      <c r="I173">
        <f>C173-H173</f>
        <v>562537.65579271992</v>
      </c>
    </row>
    <row r="174" spans="1:9">
      <c r="A174" s="5" t="s">
        <v>60</v>
      </c>
      <c r="B174" s="6">
        <v>45717</v>
      </c>
      <c r="C174" s="5">
        <v>685830.24</v>
      </c>
      <c r="D174" s="5">
        <v>61433.84</v>
      </c>
      <c r="E174" s="5">
        <v>7745</v>
      </c>
      <c r="F174" s="5">
        <v>90.5</v>
      </c>
      <c r="G174" s="5">
        <f>IF(F174="North",1,0)</f>
        <v>0</v>
      </c>
      <c r="H174">
        <f>-80484.1+(0.194328*D174)+(6.391292*E174)+(1576.133*F174)+(0*G174)</f>
        <v>123594.80829951999</v>
      </c>
      <c r="I174">
        <f>C174-H174</f>
        <v>562235.43170047994</v>
      </c>
    </row>
    <row r="175" spans="1:9">
      <c r="A175" s="5" t="s">
        <v>83</v>
      </c>
      <c r="B175" s="6">
        <v>45748</v>
      </c>
      <c r="C175" s="5">
        <v>679888.74</v>
      </c>
      <c r="D175" s="5">
        <v>21536.18</v>
      </c>
      <c r="E175" s="5">
        <v>8119</v>
      </c>
      <c r="F175" s="5">
        <v>90.4</v>
      </c>
      <c r="G175" s="5">
        <f>IF(F175="North",1,0)</f>
        <v>0</v>
      </c>
      <c r="H175">
        <f>-80484.1+(0.194328*D175)+(6.391292*E175)+(1576.133*F175)+(0*G175)</f>
        <v>118074.30573504</v>
      </c>
      <c r="I175">
        <f>C175-H175</f>
        <v>561814.43426496</v>
      </c>
    </row>
    <row r="176" spans="1:9">
      <c r="A176" s="5" t="s">
        <v>68</v>
      </c>
      <c r="B176" s="6">
        <v>45658</v>
      </c>
      <c r="C176" s="5">
        <v>681855.56</v>
      </c>
      <c r="D176" s="5">
        <v>71941.62</v>
      </c>
      <c r="E176" s="5">
        <v>6084</v>
      </c>
      <c r="F176" s="5">
        <v>93.7</v>
      </c>
      <c r="G176" s="5">
        <f>IF(F176="North",1,0)</f>
        <v>0</v>
      </c>
      <c r="H176">
        <f>-80484.1+(0.194328*D176)+(6.391292*E176)+(1576.133*F176)+(0*G176)</f>
        <v>120064.45375936001</v>
      </c>
      <c r="I176">
        <f>C176-H176</f>
        <v>561791.10624064005</v>
      </c>
    </row>
    <row r="177" spans="1:9">
      <c r="A177" s="5" t="s">
        <v>49</v>
      </c>
      <c r="B177" s="6">
        <v>45689</v>
      </c>
      <c r="C177" s="5">
        <v>664162.49</v>
      </c>
      <c r="D177" s="5">
        <v>69411.7</v>
      </c>
      <c r="E177" s="5">
        <v>5493</v>
      </c>
      <c r="F177" s="5">
        <v>86.5</v>
      </c>
      <c r="G177" s="5">
        <f>IF(F177="North",1,0)</f>
        <v>0</v>
      </c>
      <c r="H177">
        <f>-80484.1+(0.194328*D177)+(6.391292*E177)+(1576.133*F177)+(0*G177)</f>
        <v>104447.4082936</v>
      </c>
      <c r="I177">
        <f>C177-H177</f>
        <v>559715.08170640003</v>
      </c>
    </row>
    <row r="178" spans="1:9">
      <c r="A178" s="5" t="s">
        <v>100</v>
      </c>
      <c r="B178" s="6">
        <v>45689</v>
      </c>
      <c r="C178" s="5">
        <v>688368.46</v>
      </c>
      <c r="D178" s="5">
        <v>46767.99</v>
      </c>
      <c r="E178" s="5">
        <v>7973</v>
      </c>
      <c r="F178" s="5">
        <v>94.8</v>
      </c>
      <c r="G178" s="5">
        <f>IF(F178="North",1,0)</f>
        <v>0</v>
      </c>
      <c r="H178">
        <f>-80484.1+(0.194328*D178)+(6.391292*E178)+(1576.133*F178)+(0*G178)</f>
        <v>128979.40947671997</v>
      </c>
      <c r="I178">
        <f>C178-H178</f>
        <v>559389.05052327993</v>
      </c>
    </row>
    <row r="179" spans="1:9">
      <c r="A179" s="5" t="s">
        <v>77</v>
      </c>
      <c r="B179" s="6">
        <v>45689</v>
      </c>
      <c r="C179" s="5">
        <v>672670.54</v>
      </c>
      <c r="D179" s="5">
        <v>27194.639999999999</v>
      </c>
      <c r="E179" s="5">
        <v>7404</v>
      </c>
      <c r="F179" s="5">
        <v>90.2</v>
      </c>
      <c r="G179" s="5">
        <f>IF(F179="North",1,0)</f>
        <v>0</v>
      </c>
      <c r="H179">
        <f>-80484.1+(0.194328*D179)+(6.391292*E179)+(1576.133*F179)+(0*G179)</f>
        <v>114288.90256992</v>
      </c>
      <c r="I179">
        <f>C179-H179</f>
        <v>558381.63743007998</v>
      </c>
    </row>
    <row r="180" spans="1:9">
      <c r="A180" s="5" t="s">
        <v>48</v>
      </c>
      <c r="B180" s="6">
        <v>45748</v>
      </c>
      <c r="C180" s="5">
        <v>665594.93999999994</v>
      </c>
      <c r="D180" s="5">
        <v>31042.03</v>
      </c>
      <c r="E180" s="5">
        <v>7107</v>
      </c>
      <c r="F180" s="5">
        <v>87</v>
      </c>
      <c r="G180" s="5">
        <f>IF(F180="North",1,0)</f>
        <v>0</v>
      </c>
      <c r="H180">
        <f>-80484.1+(0.194328*D180)+(6.391292*E180)+(1576.133*F180)+(0*G180)</f>
        <v>108094.71884983999</v>
      </c>
      <c r="I180">
        <f>C180-H180</f>
        <v>557500.22115015995</v>
      </c>
    </row>
    <row r="181" spans="1:9">
      <c r="A181" s="5" t="s">
        <v>80</v>
      </c>
      <c r="B181" s="6">
        <v>45748</v>
      </c>
      <c r="C181" s="5">
        <v>670629.48</v>
      </c>
      <c r="D181" s="5">
        <v>47944.14</v>
      </c>
      <c r="E181" s="5">
        <v>6169</v>
      </c>
      <c r="F181" s="5">
        <v>92.2</v>
      </c>
      <c r="G181" s="5">
        <f>IF(F181="North",1,0)</f>
        <v>0</v>
      </c>
      <c r="H181">
        <f>-80484.1+(0.194328*D181)+(6.391292*E181)+(1576.133*F181)+(0*G181)</f>
        <v>113580.13178592001</v>
      </c>
      <c r="I181">
        <f>C181-H181</f>
        <v>557049.34821407998</v>
      </c>
    </row>
    <row r="182" spans="1:9">
      <c r="A182" s="5" t="s">
        <v>83</v>
      </c>
      <c r="B182" s="6">
        <v>45717</v>
      </c>
      <c r="C182" s="5">
        <v>679230.86</v>
      </c>
      <c r="D182" s="5">
        <v>57390.04</v>
      </c>
      <c r="E182" s="5">
        <v>7374</v>
      </c>
      <c r="F182" s="5">
        <v>91.8</v>
      </c>
      <c r="G182" s="5">
        <f>IF(F182="North",1,0)</f>
        <v>0</v>
      </c>
      <c r="H182">
        <f>-80484.1+(0.194328*D182)+(6.391292*E182)+(1576.133*F182)+(0*G182)</f>
        <v>122486.78830112</v>
      </c>
      <c r="I182">
        <f>C182-H182</f>
        <v>556744.07169887994</v>
      </c>
    </row>
    <row r="183" spans="1:9">
      <c r="A183" s="5" t="s">
        <v>73</v>
      </c>
      <c r="B183" s="6">
        <v>45717</v>
      </c>
      <c r="C183" s="5">
        <v>671868.59</v>
      </c>
      <c r="D183" s="5">
        <v>37983.35</v>
      </c>
      <c r="E183" s="5">
        <v>9283</v>
      </c>
      <c r="F183" s="5">
        <v>83.2</v>
      </c>
      <c r="G183" s="5">
        <f>IF(F183="North",1,0)</f>
        <v>0</v>
      </c>
      <c r="H183">
        <f>-80484.1+(0.194328*D183)+(6.391292*E183)+(1576.133*F183)+(0*G183)</f>
        <v>117361.7576748</v>
      </c>
      <c r="I183">
        <f>C183-H183</f>
        <v>554506.83232519997</v>
      </c>
    </row>
    <row r="184" spans="1:9">
      <c r="A184" s="5" t="s">
        <v>14</v>
      </c>
      <c r="B184" s="6">
        <v>45658</v>
      </c>
      <c r="C184" s="5">
        <v>658832.62</v>
      </c>
      <c r="D184" s="5">
        <v>70389.11</v>
      </c>
      <c r="E184" s="5">
        <v>8302</v>
      </c>
      <c r="F184" s="5">
        <v>75</v>
      </c>
      <c r="G184" s="5">
        <f>IF(F184="North",1,0)</f>
        <v>0</v>
      </c>
      <c r="H184">
        <f>-80484.1+(0.194328*D184)+(6.391292*E184)+(1576.133*F184)+(0*G184)</f>
        <v>104464.95615208001</v>
      </c>
      <c r="I184">
        <f>C184-H184</f>
        <v>554367.66384792002</v>
      </c>
    </row>
    <row r="185" spans="1:9">
      <c r="A185" s="5" t="s">
        <v>52</v>
      </c>
      <c r="B185" s="6">
        <v>45689</v>
      </c>
      <c r="C185" s="5">
        <v>654317.09</v>
      </c>
      <c r="D185" s="5">
        <v>83044.17</v>
      </c>
      <c r="E185" s="5">
        <v>3694</v>
      </c>
      <c r="F185" s="5">
        <v>89.4</v>
      </c>
      <c r="G185" s="5">
        <f>IF(F185="North",1,0)</f>
        <v>0</v>
      </c>
      <c r="H185">
        <f>-80484.1+(0.194328*D185)+(6.391292*E185)+(1576.133*F185)+(0*G185)</f>
        <v>100169.43031576001</v>
      </c>
      <c r="I185">
        <f>C185-H185</f>
        <v>554147.65968424</v>
      </c>
    </row>
    <row r="186" spans="1:9">
      <c r="A186" s="5" t="s">
        <v>23</v>
      </c>
      <c r="B186" s="6">
        <v>45658</v>
      </c>
      <c r="C186" s="5">
        <v>666152.52</v>
      </c>
      <c r="D186" s="5">
        <v>48804.22</v>
      </c>
      <c r="E186" s="5">
        <v>7057</v>
      </c>
      <c r="F186" s="5">
        <v>87.7</v>
      </c>
      <c r="G186" s="5">
        <f>IF(F186="North",1,0)</f>
        <v>0</v>
      </c>
      <c r="H186">
        <f>-80484.1+(0.194328*D186)+(6.391292*E186)+(1576.133*F186)+(0*G186)</f>
        <v>112330.13820816</v>
      </c>
      <c r="I186">
        <f>C186-H186</f>
        <v>553822.38179184007</v>
      </c>
    </row>
    <row r="187" spans="1:9">
      <c r="A187" s="5" t="s">
        <v>96</v>
      </c>
      <c r="B187" s="6">
        <v>45658</v>
      </c>
      <c r="C187" s="5">
        <v>668459.37</v>
      </c>
      <c r="D187" s="5">
        <v>55599.56</v>
      </c>
      <c r="E187" s="5">
        <v>5896</v>
      </c>
      <c r="F187" s="5">
        <v>93.1</v>
      </c>
      <c r="G187" s="5">
        <f>IF(F187="North",1,0)</f>
        <v>0</v>
      </c>
      <c r="H187">
        <f>-80484.1+(0.194328*D187)+(6.391292*E187)+(1576.133*F187)+(0*G187)</f>
        <v>114741.49122767999</v>
      </c>
      <c r="I187">
        <f>C187-H187</f>
        <v>553717.87877231999</v>
      </c>
    </row>
    <row r="188" spans="1:9">
      <c r="A188" s="5" t="s">
        <v>63</v>
      </c>
      <c r="B188" s="6">
        <v>45717</v>
      </c>
      <c r="C188" s="5">
        <v>665534.69999999995</v>
      </c>
      <c r="D188" s="5">
        <v>30301.86</v>
      </c>
      <c r="E188" s="5">
        <v>6939</v>
      </c>
      <c r="F188" s="5">
        <v>90.3</v>
      </c>
      <c r="G188" s="5">
        <f>IF(F188="North",1,0)</f>
        <v>0</v>
      </c>
      <c r="H188">
        <f>-80484.1+(0.194328*D188)+(6.391292*E188)+(1576.133*F188)+(0*G188)</f>
        <v>112078.38493807998</v>
      </c>
      <c r="I188">
        <f>C188-H188</f>
        <v>553456.31506191997</v>
      </c>
    </row>
    <row r="189" spans="1:9">
      <c r="A189" s="5" t="s">
        <v>80</v>
      </c>
      <c r="B189" s="6">
        <v>45658</v>
      </c>
      <c r="C189" s="5">
        <v>658072.14</v>
      </c>
      <c r="D189" s="5">
        <v>47241.919999999998</v>
      </c>
      <c r="E189" s="5">
        <v>4264</v>
      </c>
      <c r="F189" s="5">
        <v>95.3</v>
      </c>
      <c r="G189" s="5">
        <f>IF(F189="North",1,0)</f>
        <v>0</v>
      </c>
      <c r="H189">
        <f>-80484.1+(0.194328*D189)+(6.391292*E189)+(1576.133*F189)+(0*G189)</f>
        <v>106154.27181775999</v>
      </c>
      <c r="I189">
        <f>C189-H189</f>
        <v>551917.86818224005</v>
      </c>
    </row>
    <row r="190" spans="1:9">
      <c r="A190" s="5" t="s">
        <v>14</v>
      </c>
      <c r="B190" s="6">
        <v>45717</v>
      </c>
      <c r="C190" s="5">
        <v>678722.06</v>
      </c>
      <c r="D190" s="5">
        <v>59921.75</v>
      </c>
      <c r="E190" s="5">
        <v>9113</v>
      </c>
      <c r="F190" s="5">
        <v>88</v>
      </c>
      <c r="G190" s="5">
        <f>IF(F190="North",1,0)</f>
        <v>0</v>
      </c>
      <c r="H190">
        <f>-80484.1+(0.194328*D190)+(6.391292*E190)+(1576.133*F190)+(0*G190)</f>
        <v>128103.92183000001</v>
      </c>
      <c r="I190">
        <f>C190-H190</f>
        <v>550618.13817000005</v>
      </c>
    </row>
    <row r="191" spans="1:9">
      <c r="A191" s="5" t="s">
        <v>51</v>
      </c>
      <c r="B191" s="6">
        <v>45717</v>
      </c>
      <c r="C191" s="5">
        <v>684217.32</v>
      </c>
      <c r="D191" s="5">
        <v>42415.47</v>
      </c>
      <c r="E191" s="5">
        <v>8512</v>
      </c>
      <c r="F191" s="5">
        <v>96.8</v>
      </c>
      <c r="G191" s="5">
        <f>IF(F191="North",1,0)</f>
        <v>0</v>
      </c>
      <c r="H191">
        <f>-80484.1+(0.194328*D191)+(6.391292*E191)+(1576.133*F191)+(0*G191)</f>
        <v>134730.76535815999</v>
      </c>
      <c r="I191">
        <f>C191-H191</f>
        <v>549486.55464183993</v>
      </c>
    </row>
    <row r="192" spans="1:9">
      <c r="A192" s="5" t="s">
        <v>91</v>
      </c>
      <c r="B192" s="6">
        <v>45658</v>
      </c>
      <c r="C192" s="5">
        <v>673076.34</v>
      </c>
      <c r="D192" s="5">
        <v>61784.11</v>
      </c>
      <c r="E192" s="5">
        <v>8564</v>
      </c>
      <c r="F192" s="5">
        <v>87.4</v>
      </c>
      <c r="G192" s="5">
        <f>IF(F192="North",1,0)</f>
        <v>0</v>
      </c>
      <c r="H192">
        <f>-80484.1+(0.194328*D192)+(6.391292*E192)+(1576.133*F192)+(0*G192)</f>
        <v>124011.33141608001</v>
      </c>
      <c r="I192">
        <f>C192-H192</f>
        <v>549065.00858391996</v>
      </c>
    </row>
    <row r="193" spans="1:9">
      <c r="A193" s="5" t="s">
        <v>78</v>
      </c>
      <c r="B193" s="6">
        <v>45658</v>
      </c>
      <c r="C193" s="5">
        <v>641564.6</v>
      </c>
      <c r="D193" s="5">
        <v>68212.289999999994</v>
      </c>
      <c r="E193" s="5">
        <v>4713</v>
      </c>
      <c r="F193" s="5">
        <v>82.6</v>
      </c>
      <c r="G193" s="5">
        <f>IF(F193="North",1,0)</f>
        <v>0</v>
      </c>
      <c r="H193">
        <f>-80484.1+(0.194328*D193)+(6.391292*E193)+(1576.133*F193)+(0*G193)</f>
        <v>93082.202887119987</v>
      </c>
      <c r="I193">
        <f>C193-H193</f>
        <v>548482.39711288002</v>
      </c>
    </row>
    <row r="194" spans="1:9">
      <c r="A194" s="5" t="s">
        <v>23</v>
      </c>
      <c r="B194" s="6">
        <v>45717</v>
      </c>
      <c r="C194" s="5">
        <v>666573.19999999995</v>
      </c>
      <c r="D194" s="5">
        <v>78831.12</v>
      </c>
      <c r="E194" s="5">
        <v>5538</v>
      </c>
      <c r="F194" s="5">
        <v>94.1</v>
      </c>
      <c r="G194" s="5">
        <f>IF(F194="North",1,0)</f>
        <v>0</v>
      </c>
      <c r="H194">
        <f>-80484.1+(0.194328*D194)+(6.391292*E194)+(1576.133*F194)+(0*G194)</f>
        <v>118544.08428335999</v>
      </c>
      <c r="I194">
        <f>C194-H194</f>
        <v>548029.11571663991</v>
      </c>
    </row>
    <row r="195" spans="1:9">
      <c r="A195" s="5" t="s">
        <v>41</v>
      </c>
      <c r="B195" s="6">
        <v>45658</v>
      </c>
      <c r="C195" s="5">
        <v>643657.47</v>
      </c>
      <c r="D195" s="5">
        <v>56973.18</v>
      </c>
      <c r="E195" s="5">
        <v>6662</v>
      </c>
      <c r="F195" s="5">
        <v>77.7</v>
      </c>
      <c r="G195" s="5">
        <f>IF(F195="North",1,0)</f>
        <v>0</v>
      </c>
      <c r="H195">
        <f>-80484.1+(0.194328*D195)+(6.391292*E195)+(1576.133*F195)+(0*G195)</f>
        <v>95631.705527040001</v>
      </c>
      <c r="I195">
        <f>C195-H195</f>
        <v>548025.76447296003</v>
      </c>
    </row>
    <row r="196" spans="1:9">
      <c r="A196" s="5" t="s">
        <v>80</v>
      </c>
      <c r="B196" s="6">
        <v>45717</v>
      </c>
      <c r="C196" s="5">
        <v>640666.53</v>
      </c>
      <c r="D196" s="5">
        <v>62582.71</v>
      </c>
      <c r="E196" s="5">
        <v>5479</v>
      </c>
      <c r="F196" s="5">
        <v>81.2</v>
      </c>
      <c r="G196" s="5">
        <f>IF(F196="North",1,0)</f>
        <v>0</v>
      </c>
      <c r="H196">
        <f>-80484.1+(0.194328*D196)+(6.391292*E196)+(1576.133*F196)+(0*G196)</f>
        <v>94677.361336880014</v>
      </c>
      <c r="I196">
        <f>C196-H196</f>
        <v>545989.16866312001</v>
      </c>
    </row>
    <row r="197" spans="1:9">
      <c r="A197" s="5" t="s">
        <v>73</v>
      </c>
      <c r="B197" s="6">
        <v>45748</v>
      </c>
      <c r="C197" s="5">
        <v>675917.63</v>
      </c>
      <c r="D197" s="5">
        <v>56413.83</v>
      </c>
      <c r="E197" s="5">
        <v>8303</v>
      </c>
      <c r="F197" s="5">
        <v>93.6</v>
      </c>
      <c r="G197" s="5">
        <f>IF(F197="North",1,0)</f>
        <v>0</v>
      </c>
      <c r="H197">
        <f>-80484.1+(0.194328*D197)+(6.391292*E197)+(1576.133*F197)+(0*G197)</f>
        <v>131071.63303223999</v>
      </c>
      <c r="I197">
        <f>C197-H197</f>
        <v>544845.99696776003</v>
      </c>
    </row>
    <row r="198" spans="1:9">
      <c r="A198" s="5" t="s">
        <v>90</v>
      </c>
      <c r="B198" s="6">
        <v>45658</v>
      </c>
      <c r="C198" s="5">
        <v>645039.97</v>
      </c>
      <c r="D198" s="5">
        <v>50532.17</v>
      </c>
      <c r="E198" s="5">
        <v>5689</v>
      </c>
      <c r="F198" s="5">
        <v>85.6</v>
      </c>
      <c r="G198" s="5">
        <f>IF(F198="North",1,0)</f>
        <v>0</v>
      </c>
      <c r="H198">
        <f>-80484.1+(0.194328*D198)+(6.391292*E198)+(1576.133*F198)+(0*G198)</f>
        <v>100612.76051976001</v>
      </c>
      <c r="I198">
        <f>C198-H198</f>
        <v>544427.20948024001</v>
      </c>
    </row>
    <row r="199" spans="1:9">
      <c r="A199" s="5" t="s">
        <v>84</v>
      </c>
      <c r="B199" s="6">
        <v>45689</v>
      </c>
      <c r="C199" s="5">
        <v>642751.42000000004</v>
      </c>
      <c r="D199" s="5">
        <v>72932.55</v>
      </c>
      <c r="E199" s="5">
        <v>5765</v>
      </c>
      <c r="F199" s="5">
        <v>81.8</v>
      </c>
      <c r="G199" s="5">
        <f>IF(F199="North",1,0)</f>
        <v>0</v>
      </c>
      <c r="H199">
        <f>-80484.1+(0.194328*D199)+(6.391292*E199)+(1576.133*F199)+(0*G199)</f>
        <v>99462.214356399985</v>
      </c>
      <c r="I199">
        <f>C199-H199</f>
        <v>543289.20564360009</v>
      </c>
    </row>
    <row r="200" spans="1:9">
      <c r="A200" s="5" t="s">
        <v>56</v>
      </c>
      <c r="B200" s="6">
        <v>45748</v>
      </c>
      <c r="C200" s="5">
        <v>646559.71</v>
      </c>
      <c r="D200" s="5">
        <v>44211.95</v>
      </c>
      <c r="E200" s="5">
        <v>5465</v>
      </c>
      <c r="F200" s="5">
        <v>90</v>
      </c>
      <c r="G200" s="5">
        <f>IF(F200="North",1,0)</f>
        <v>0</v>
      </c>
      <c r="H200">
        <f>-80484.1+(0.194328*D200)+(6.391292*E200)+(1576.133*F200)+(0*G200)</f>
        <v>104887.90059959999</v>
      </c>
      <c r="I200">
        <f>C200-H200</f>
        <v>541671.80940039991</v>
      </c>
    </row>
    <row r="201" spans="1:9">
      <c r="A201" s="5" t="s">
        <v>84</v>
      </c>
      <c r="B201" s="6">
        <v>45717</v>
      </c>
      <c r="C201" s="5">
        <v>647953.78</v>
      </c>
      <c r="D201" s="5">
        <v>38361.93</v>
      </c>
      <c r="E201" s="5">
        <v>6322</v>
      </c>
      <c r="F201" s="5">
        <v>88.4</v>
      </c>
      <c r="G201" s="5">
        <f>IF(F201="North",1,0)</f>
        <v>0</v>
      </c>
      <c r="H201">
        <f>-80484.1+(0.194328*D201)+(6.391292*E201)+(1576.133*F201)+(0*G201)</f>
        <v>106706.60235704001</v>
      </c>
      <c r="I201">
        <f>C201-H201</f>
        <v>541247.17764295998</v>
      </c>
    </row>
    <row r="202" spans="1:9">
      <c r="A202" s="5" t="s">
        <v>72</v>
      </c>
      <c r="B202" s="6">
        <v>45748</v>
      </c>
      <c r="C202" s="5">
        <v>650795.49</v>
      </c>
      <c r="D202" s="5">
        <v>64104.28</v>
      </c>
      <c r="E202" s="5">
        <v>6015</v>
      </c>
      <c r="F202" s="5">
        <v>88.7</v>
      </c>
      <c r="G202" s="5">
        <f>IF(F202="North",1,0)</f>
        <v>0</v>
      </c>
      <c r="H202">
        <f>-80484.1+(0.194328*D202)+(6.391292*E202)+(1576.133*F202)+(0*G202)</f>
        <v>110219.77500384</v>
      </c>
      <c r="I202">
        <f>C202-H202</f>
        <v>540575.71499616001</v>
      </c>
    </row>
    <row r="203" spans="1:9">
      <c r="A203" s="5" t="s">
        <v>47</v>
      </c>
      <c r="B203" s="6">
        <v>45748</v>
      </c>
      <c r="C203" s="5">
        <v>625514.04</v>
      </c>
      <c r="D203" s="5">
        <v>32266.639999999999</v>
      </c>
      <c r="E203" s="5">
        <v>2414</v>
      </c>
      <c r="F203" s="5">
        <v>92.1</v>
      </c>
      <c r="G203" s="5">
        <f>IF(F203="North",1,0)</f>
        <v>0</v>
      </c>
      <c r="H203">
        <f>-80484.1+(0.194328*D203)+(6.391292*E203)+(1576.133*F203)+(0*G203)</f>
        <v>86376.63980592</v>
      </c>
      <c r="I203">
        <f>C203-H203</f>
        <v>539137.40019408008</v>
      </c>
    </row>
    <row r="204" spans="1:9">
      <c r="A204" s="5" t="s">
        <v>47</v>
      </c>
      <c r="B204" s="6">
        <v>45658</v>
      </c>
      <c r="C204" s="5">
        <v>635181.35</v>
      </c>
      <c r="D204" s="5">
        <v>53084.76</v>
      </c>
      <c r="E204" s="5">
        <v>3642</v>
      </c>
      <c r="F204" s="5">
        <v>91.4</v>
      </c>
      <c r="G204" s="5">
        <f>IF(F204="North",1,0)</f>
        <v>0</v>
      </c>
      <c r="H204">
        <f>-80484.1+(0.194328*D204)+(6.391292*E204)+(1576.133*F204)+(0*G204)</f>
        <v>97167.396905280024</v>
      </c>
      <c r="I204">
        <f>C204-H204</f>
        <v>538013.95309471991</v>
      </c>
    </row>
    <row r="205" spans="1:9">
      <c r="A205" s="5" t="s">
        <v>79</v>
      </c>
      <c r="B205" s="6">
        <v>45748</v>
      </c>
      <c r="C205" s="5">
        <v>647512.85</v>
      </c>
      <c r="D205" s="5">
        <v>25818.080000000002</v>
      </c>
      <c r="E205" s="5">
        <v>5457</v>
      </c>
      <c r="F205" s="5">
        <v>95.4</v>
      </c>
      <c r="G205" s="5">
        <f>IF(F205="North",1,0)</f>
        <v>0</v>
      </c>
      <c r="H205">
        <f>-80484.1+(0.194328*D205)+(6.391292*E205)+(1576.133*F205)+(0*G205)</f>
        <v>109773.44449423999</v>
      </c>
      <c r="I205">
        <f>C205-H205</f>
        <v>537739.40550575999</v>
      </c>
    </row>
    <row r="206" spans="1:9">
      <c r="A206" s="5" t="s">
        <v>34</v>
      </c>
      <c r="B206" s="6">
        <v>45717</v>
      </c>
      <c r="C206" s="5">
        <v>625672.86</v>
      </c>
      <c r="D206" s="5">
        <v>48287.85</v>
      </c>
      <c r="E206" s="5">
        <v>5150</v>
      </c>
      <c r="F206" s="5">
        <v>80.400000000000006</v>
      </c>
      <c r="G206" s="5">
        <f>IF(F206="North",1,0)</f>
        <v>0</v>
      </c>
      <c r="H206">
        <f>-80484.1+(0.194328*D206)+(6.391292*E206)+(1576.133*F206)+(0*G206)</f>
        <v>88535.828314800005</v>
      </c>
      <c r="I206">
        <f>C206-H206</f>
        <v>537137.03168519994</v>
      </c>
    </row>
    <row r="207" spans="1:9">
      <c r="A207" s="5" t="s">
        <v>41</v>
      </c>
      <c r="B207" s="6">
        <v>45748</v>
      </c>
      <c r="C207" s="5">
        <v>636561.34</v>
      </c>
      <c r="D207" s="5">
        <v>77999.899999999994</v>
      </c>
      <c r="E207" s="5">
        <v>5974</v>
      </c>
      <c r="F207" s="5">
        <v>81.3</v>
      </c>
      <c r="G207" s="5">
        <f>IF(F207="North",1,0)</f>
        <v>0</v>
      </c>
      <c r="H207">
        <f>-80484.1+(0.194328*D207)+(6.391292*E207)+(1576.133*F207)+(0*G207)</f>
        <v>100994.65587519998</v>
      </c>
      <c r="I207">
        <f>C207-H207</f>
        <v>535566.68412480003</v>
      </c>
    </row>
    <row r="208" spans="1:9">
      <c r="A208" s="5" t="s">
        <v>93</v>
      </c>
      <c r="B208" s="6">
        <v>45658</v>
      </c>
      <c r="C208" s="5">
        <v>636775.66</v>
      </c>
      <c r="D208" s="5">
        <v>60183.06</v>
      </c>
      <c r="E208" s="5">
        <v>5562</v>
      </c>
      <c r="F208" s="5">
        <v>86.3</v>
      </c>
      <c r="G208" s="5">
        <f>IF(F208="North",1,0)</f>
        <v>0</v>
      </c>
      <c r="H208">
        <f>-80484.1+(0.194328*D208)+(6.391292*E208)+(1576.133*F208)+(0*G208)</f>
        <v>102779.79768767998</v>
      </c>
      <c r="I208">
        <f>C208-H208</f>
        <v>533995.86231232004</v>
      </c>
    </row>
    <row r="209" spans="1:9">
      <c r="A209" s="5" t="s">
        <v>69</v>
      </c>
      <c r="B209" s="6">
        <v>45658</v>
      </c>
      <c r="C209" s="5">
        <v>625993.82999999996</v>
      </c>
      <c r="D209" s="5">
        <v>71641.899999999994</v>
      </c>
      <c r="E209" s="5">
        <v>3506</v>
      </c>
      <c r="F209" s="5">
        <v>86.4</v>
      </c>
      <c r="G209" s="5">
        <f>IF(F209="North",1,0)</f>
        <v>0</v>
      </c>
      <c r="H209">
        <f>-80484.1+(0.194328*D209)+(6.391292*E209)+(1576.133*F209)+(0*G209)</f>
        <v>92023.688095200007</v>
      </c>
      <c r="I209">
        <f>C209-H209</f>
        <v>533970.14190479997</v>
      </c>
    </row>
    <row r="210" spans="1:9">
      <c r="A210" s="5" t="s">
        <v>62</v>
      </c>
      <c r="B210" s="6">
        <v>45658</v>
      </c>
      <c r="C210" s="5">
        <v>650480.06000000006</v>
      </c>
      <c r="D210" s="5">
        <v>41443.410000000003</v>
      </c>
      <c r="E210" s="5">
        <v>7455</v>
      </c>
      <c r="F210" s="5">
        <v>90.1</v>
      </c>
      <c r="G210" s="5">
        <f>IF(F210="North",1,0)</f>
        <v>0</v>
      </c>
      <c r="H210">
        <f>-80484.1+(0.194328*D210)+(6.391292*E210)+(1576.133*F210)+(0*G210)</f>
        <v>117226.18013848001</v>
      </c>
      <c r="I210">
        <f>C210-H210</f>
        <v>533253.87986152002</v>
      </c>
    </row>
    <row r="211" spans="1:9">
      <c r="A211" s="5" t="s">
        <v>38</v>
      </c>
      <c r="B211" s="6">
        <v>45717</v>
      </c>
      <c r="C211" s="5">
        <v>685379.08</v>
      </c>
      <c r="D211" s="5">
        <v>79346.100000000006</v>
      </c>
      <c r="E211" s="5">
        <v>9628</v>
      </c>
      <c r="F211" s="5">
        <v>99</v>
      </c>
      <c r="G211" s="5">
        <f>IF(F211="North",1,0)</f>
        <v>0</v>
      </c>
      <c r="H211">
        <f>-80484.1+(0.194328*D211)+(6.391292*E211)+(1576.133*F211)+(0*G211)</f>
        <v>152507.59529680002</v>
      </c>
      <c r="I211">
        <f>C211-H211</f>
        <v>532871.48470319994</v>
      </c>
    </row>
    <row r="212" spans="1:9">
      <c r="A212" s="5" t="s">
        <v>87</v>
      </c>
      <c r="B212" s="6">
        <v>45748</v>
      </c>
      <c r="C212" s="5">
        <v>636613.23</v>
      </c>
      <c r="D212" s="5">
        <v>58688.26</v>
      </c>
      <c r="E212" s="5">
        <v>4022</v>
      </c>
      <c r="F212" s="5">
        <v>93.8</v>
      </c>
      <c r="G212" s="5">
        <f>IF(F212="North",1,0)</f>
        <v>0</v>
      </c>
      <c r="H212">
        <f>-80484.1+(0.194328*D212)+(6.391292*E212)+(1576.133*F212)+(0*G212)</f>
        <v>104467.72401328001</v>
      </c>
      <c r="I212">
        <f>C212-H212</f>
        <v>532145.50598671997</v>
      </c>
    </row>
    <row r="213" spans="1:9">
      <c r="A213" s="5" t="s">
        <v>14</v>
      </c>
      <c r="B213" s="6">
        <v>45748</v>
      </c>
      <c r="C213" s="5">
        <v>658920.30000000005</v>
      </c>
      <c r="D213" s="5">
        <v>56856.63</v>
      </c>
      <c r="E213" s="5">
        <v>9431</v>
      </c>
      <c r="F213" s="5">
        <v>86.9</v>
      </c>
      <c r="G213" s="5">
        <f>IF(F213="North",1,0)</f>
        <v>0</v>
      </c>
      <c r="H213">
        <f>-80484.1+(0.194328*D213)+(6.391292*E213)+(1576.133*F213)+(0*G213)</f>
        <v>127806.96774664</v>
      </c>
      <c r="I213">
        <f>C213-H213</f>
        <v>531113.33225336007</v>
      </c>
    </row>
    <row r="214" spans="1:9">
      <c r="A214" s="5" t="s">
        <v>89</v>
      </c>
      <c r="B214" s="6">
        <v>45658</v>
      </c>
      <c r="C214" s="5">
        <v>660633.99</v>
      </c>
      <c r="D214" s="5">
        <v>48752.92</v>
      </c>
      <c r="E214" s="5">
        <v>8052</v>
      </c>
      <c r="F214" s="5">
        <v>94.9</v>
      </c>
      <c r="G214" s="5">
        <f>IF(F214="North",1,0)</f>
        <v>0</v>
      </c>
      <c r="H214">
        <f>-80484.1+(0.194328*D214)+(6.391292*E214)+(1576.133*F214)+(0*G214)</f>
        <v>130027.66232176</v>
      </c>
      <c r="I214">
        <f>C214-H214</f>
        <v>530606.32767824002</v>
      </c>
    </row>
    <row r="215" spans="1:9">
      <c r="A215" s="5" t="s">
        <v>70</v>
      </c>
      <c r="B215" s="6">
        <v>45658</v>
      </c>
      <c r="C215" s="5">
        <v>643428.85</v>
      </c>
      <c r="D215" s="5">
        <v>81796.740000000005</v>
      </c>
      <c r="E215" s="5">
        <v>6177</v>
      </c>
      <c r="F215" s="5">
        <v>87.9</v>
      </c>
      <c r="G215" s="5">
        <f>IF(F215="North",1,0)</f>
        <v>0</v>
      </c>
      <c r="H215">
        <f>-80484.1+(0.194328*D215)+(6.391292*E215)+(1576.133*F215)+(0*G215)</f>
        <v>113432.39827472001</v>
      </c>
      <c r="I215">
        <f>C215-H215</f>
        <v>529996.45172527991</v>
      </c>
    </row>
    <row r="216" spans="1:9">
      <c r="A216" s="5" t="s">
        <v>90</v>
      </c>
      <c r="B216" s="6">
        <v>45717</v>
      </c>
      <c r="C216" s="5">
        <v>635837.74</v>
      </c>
      <c r="D216" s="5">
        <v>47648.71</v>
      </c>
      <c r="E216" s="5">
        <v>5767</v>
      </c>
      <c r="F216" s="5">
        <v>89.8</v>
      </c>
      <c r="G216" s="5">
        <f>IF(F216="North",1,0)</f>
        <v>0</v>
      </c>
      <c r="H216">
        <f>-80484.1+(0.194328*D216)+(6.391292*E216)+(1576.133*F216)+(0*G216)</f>
        <v>107170.70288088001</v>
      </c>
      <c r="I216">
        <f>C216-H216</f>
        <v>528667.03711912001</v>
      </c>
    </row>
    <row r="217" spans="1:9">
      <c r="A217" s="5" t="s">
        <v>93</v>
      </c>
      <c r="B217" s="6">
        <v>45689</v>
      </c>
      <c r="C217" s="5">
        <v>633009.53</v>
      </c>
      <c r="D217" s="5">
        <v>74539.14</v>
      </c>
      <c r="E217" s="5">
        <v>4487</v>
      </c>
      <c r="F217" s="5">
        <v>90.4</v>
      </c>
      <c r="G217" s="5">
        <f>IF(F217="North",1,0)</f>
        <v>0</v>
      </c>
      <c r="H217">
        <f>-80484.1+(0.194328*D217)+(6.391292*E217)+(1576.133*F217)+(0*G217)</f>
        <v>105161.09240192</v>
      </c>
      <c r="I217">
        <f>C217-H217</f>
        <v>527848.43759808003</v>
      </c>
    </row>
    <row r="218" spans="1:9">
      <c r="A218" s="5" t="s">
        <v>37</v>
      </c>
      <c r="B218" s="6">
        <v>45689</v>
      </c>
      <c r="C218" s="5">
        <v>615966.48</v>
      </c>
      <c r="D218" s="5">
        <v>37284.660000000003</v>
      </c>
      <c r="E218" s="5">
        <v>3928</v>
      </c>
      <c r="F218" s="5">
        <v>86.5</v>
      </c>
      <c r="G218" s="5">
        <f>IF(F218="North",1,0)</f>
        <v>0</v>
      </c>
      <c r="H218">
        <f>-80484.1+(0.194328*D218)+(6.391292*E218)+(1576.133*F218)+(0*G218)</f>
        <v>88201.852884480002</v>
      </c>
      <c r="I218">
        <f>C218-H218</f>
        <v>527764.62711551995</v>
      </c>
    </row>
    <row r="219" spans="1:9">
      <c r="A219" s="5" t="s">
        <v>56</v>
      </c>
      <c r="B219" s="6">
        <v>45658</v>
      </c>
      <c r="C219" s="5">
        <v>633638.03</v>
      </c>
      <c r="D219" s="5">
        <v>71320.66</v>
      </c>
      <c r="E219" s="5">
        <v>7888</v>
      </c>
      <c r="F219" s="5">
        <v>78.099999999999994</v>
      </c>
      <c r="G219" s="5">
        <f>IF(F219="North",1,0)</f>
        <v>0</v>
      </c>
      <c r="H219">
        <f>-80484.1+(0.194328*D219)+(6.391292*E219)+(1576.133*F219)+(0*G219)</f>
        <v>106885.99981247999</v>
      </c>
      <c r="I219">
        <f>C219-H219</f>
        <v>526752.03018752008</v>
      </c>
    </row>
    <row r="220" spans="1:9">
      <c r="A220" s="5" t="s">
        <v>34</v>
      </c>
      <c r="B220" s="6">
        <v>45689</v>
      </c>
      <c r="C220" s="5">
        <v>603297.56999999995</v>
      </c>
      <c r="D220" s="5">
        <v>49710.29</v>
      </c>
      <c r="E220" s="5">
        <v>5559</v>
      </c>
      <c r="F220" s="5">
        <v>71</v>
      </c>
      <c r="G220" s="5">
        <f>IF(F220="North",1,0)</f>
        <v>0</v>
      </c>
      <c r="H220">
        <f>-80484.1+(0.194328*D220)+(6.391292*E220)+(1576.133*F220)+(0*G220)</f>
        <v>76610.636463119998</v>
      </c>
      <c r="I220">
        <f>C220-H220</f>
        <v>526686.93353687995</v>
      </c>
    </row>
    <row r="221" spans="1:9">
      <c r="A221" s="5" t="s">
        <v>49</v>
      </c>
      <c r="B221" s="6">
        <v>45717</v>
      </c>
      <c r="C221" s="5">
        <v>633494.21</v>
      </c>
      <c r="D221" s="5">
        <v>51056.15</v>
      </c>
      <c r="E221" s="5">
        <v>5686</v>
      </c>
      <c r="F221" s="5">
        <v>89.9</v>
      </c>
      <c r="G221" s="5">
        <f>IF(F221="North",1,0)</f>
        <v>0</v>
      </c>
      <c r="H221">
        <f>-80484.1+(0.194328*D221)+(6.391292*E221)+(1576.133*F221)+(0*G221)</f>
        <v>107472.78252920001</v>
      </c>
      <c r="I221">
        <f>C221-H221</f>
        <v>526021.4274708</v>
      </c>
    </row>
    <row r="222" spans="1:9">
      <c r="A222" s="5" t="s">
        <v>61</v>
      </c>
      <c r="B222" s="6">
        <v>45748</v>
      </c>
      <c r="C222" s="5">
        <v>620973.03</v>
      </c>
      <c r="D222" s="5">
        <v>23254.57</v>
      </c>
      <c r="E222" s="5">
        <v>3847</v>
      </c>
      <c r="F222" s="5">
        <v>93</v>
      </c>
      <c r="G222" s="5">
        <f>IF(F222="North",1,0)</f>
        <v>0</v>
      </c>
      <c r="H222">
        <f>-80484.1+(0.194328*D222)+(6.391292*E222)+(1576.133*F222)+(0*G222)</f>
        <v>95202.583402959994</v>
      </c>
      <c r="I222">
        <f>C222-H222</f>
        <v>525770.44659704005</v>
      </c>
    </row>
    <row r="223" spans="1:9">
      <c r="A223" s="5" t="s">
        <v>40</v>
      </c>
      <c r="B223" s="6">
        <v>45658</v>
      </c>
      <c r="C223" s="5">
        <v>616069.41</v>
      </c>
      <c r="D223" s="5">
        <v>46201.46</v>
      </c>
      <c r="E223" s="5">
        <v>5918</v>
      </c>
      <c r="F223" s="5">
        <v>78.8</v>
      </c>
      <c r="G223" s="5">
        <f>IF(F223="North",1,0)</f>
        <v>0</v>
      </c>
      <c r="H223">
        <f>-80484.1+(0.194328*D223)+(6.391292*E223)+(1576.133*F223)+(0*G223)</f>
        <v>90517.083774879997</v>
      </c>
      <c r="I223">
        <f>C223-H223</f>
        <v>525552.32622511999</v>
      </c>
    </row>
    <row r="224" spans="1:9">
      <c r="A224" s="5" t="s">
        <v>99</v>
      </c>
      <c r="B224" s="6">
        <v>45658</v>
      </c>
      <c r="C224" s="5">
        <v>628538.30000000005</v>
      </c>
      <c r="D224" s="5">
        <v>48465.599999999999</v>
      </c>
      <c r="E224" s="5">
        <v>5759</v>
      </c>
      <c r="F224" s="5">
        <v>87.5</v>
      </c>
      <c r="G224" s="5">
        <f>IF(F224="North",1,0)</f>
        <v>0</v>
      </c>
      <c r="H224">
        <f>-80484.1+(0.194328*D224)+(6.391292*E224)+(1576.133*F224)+(0*G224)</f>
        <v>103653.21124480001</v>
      </c>
      <c r="I224">
        <f>C224-H224</f>
        <v>524885.08875520003</v>
      </c>
    </row>
    <row r="225" spans="1:9">
      <c r="A225" s="5" t="s">
        <v>42</v>
      </c>
      <c r="B225" s="6">
        <v>45658</v>
      </c>
      <c r="C225" s="5">
        <v>621369.57999999996</v>
      </c>
      <c r="D225" s="5">
        <v>60881.01</v>
      </c>
      <c r="E225" s="5">
        <v>5410</v>
      </c>
      <c r="F225" s="5">
        <v>83.9</v>
      </c>
      <c r="G225" s="5">
        <f>IF(F225="North",1,0)</f>
        <v>0</v>
      </c>
      <c r="H225">
        <f>-80484.1+(0.194328*D225)+(6.391292*E225)+(1576.133*F225)+(0*G225)</f>
        <v>98161.233331280004</v>
      </c>
      <c r="I225">
        <f>C225-H225</f>
        <v>523208.34666871995</v>
      </c>
    </row>
    <row r="226" spans="1:9">
      <c r="A226" s="5" t="s">
        <v>98</v>
      </c>
      <c r="B226" s="6">
        <v>45748</v>
      </c>
      <c r="C226" s="5">
        <v>651164.18000000005</v>
      </c>
      <c r="D226" s="5">
        <v>60684.05</v>
      </c>
      <c r="E226" s="5">
        <v>6399</v>
      </c>
      <c r="F226" s="5">
        <v>99</v>
      </c>
      <c r="G226" s="5">
        <f>IF(F226="North",1,0)</f>
        <v>0</v>
      </c>
      <c r="H226">
        <f>-80484.1+(0.194328*D226)+(6.391292*E226)+(1576.133*F226)+(0*G226)</f>
        <v>128243.5545764</v>
      </c>
      <c r="I226">
        <f>C226-H226</f>
        <v>522920.62542360008</v>
      </c>
    </row>
    <row r="227" spans="1:9">
      <c r="A227" s="5" t="s">
        <v>99</v>
      </c>
      <c r="B227" s="6">
        <v>45717</v>
      </c>
      <c r="C227" s="5">
        <v>621677.30000000005</v>
      </c>
      <c r="D227" s="5">
        <v>54322.94</v>
      </c>
      <c r="E227" s="5">
        <v>5434</v>
      </c>
      <c r="F227" s="5">
        <v>85.7</v>
      </c>
      <c r="G227" s="5">
        <f>IF(F227="North",1,0)</f>
        <v>0</v>
      </c>
      <c r="H227">
        <f>-80484.1+(0.194328*D227)+(6.391292*E227)+(1576.133*F227)+(0*G227)</f>
        <v>99877.247112319994</v>
      </c>
      <c r="I227">
        <f>C227-H227</f>
        <v>521800.05288768007</v>
      </c>
    </row>
    <row r="228" spans="1:9">
      <c r="A228" s="5" t="s">
        <v>30</v>
      </c>
      <c r="B228" s="6">
        <v>45658</v>
      </c>
      <c r="C228" s="5">
        <v>641865.03</v>
      </c>
      <c r="D228" s="5">
        <v>54597.83</v>
      </c>
      <c r="E228" s="5">
        <v>9429</v>
      </c>
      <c r="F228" s="5">
        <v>83.3</v>
      </c>
      <c r="G228" s="5">
        <f>IF(F228="North",1,0)</f>
        <v>0</v>
      </c>
      <c r="H228">
        <f>-80484.1+(0.194328*D228)+(6.391292*E228)+(1576.133*F228)+(0*G228)</f>
        <v>121681.15827624001</v>
      </c>
      <c r="I228">
        <f>C228-H228</f>
        <v>520183.87172376004</v>
      </c>
    </row>
    <row r="229" spans="1:9">
      <c r="A229" s="5" t="s">
        <v>14</v>
      </c>
      <c r="B229" s="6">
        <v>45689</v>
      </c>
      <c r="C229" s="5">
        <v>634436</v>
      </c>
      <c r="D229" s="5">
        <v>43827.89</v>
      </c>
      <c r="E229" s="5">
        <v>8487</v>
      </c>
      <c r="F229" s="5">
        <v>84.4</v>
      </c>
      <c r="G229" s="5">
        <f>IF(F229="North",1,0)</f>
        <v>0</v>
      </c>
      <c r="H229">
        <f>-80484.1+(0.194328*D229)+(6.391292*E229)+(1576.133*F229)+(0*G229)</f>
        <v>115301.40661192</v>
      </c>
      <c r="I229">
        <f>C229-H229</f>
        <v>519134.59338808001</v>
      </c>
    </row>
    <row r="230" spans="1:9">
      <c r="A230" s="5" t="s">
        <v>33</v>
      </c>
      <c r="B230" s="6">
        <v>45717</v>
      </c>
      <c r="C230" s="5">
        <v>614800.09</v>
      </c>
      <c r="D230" s="5">
        <v>50043.65</v>
      </c>
      <c r="E230" s="5">
        <v>3804</v>
      </c>
      <c r="F230" s="5">
        <v>90.9</v>
      </c>
      <c r="G230" s="5">
        <f>IF(F230="North",1,0)</f>
        <v>0</v>
      </c>
      <c r="H230">
        <f>-80484.1+(0.194328*D230)+(6.391292*E230)+(1576.133*F230)+(0*G230)</f>
        <v>96823.746885200002</v>
      </c>
      <c r="I230">
        <f>C230-H230</f>
        <v>517976.34311479994</v>
      </c>
    </row>
    <row r="231" spans="1:9">
      <c r="A231" s="5" t="s">
        <v>43</v>
      </c>
      <c r="B231" s="6">
        <v>45717</v>
      </c>
      <c r="C231" s="5">
        <v>614596.31999999995</v>
      </c>
      <c r="D231" s="5">
        <v>78231.91</v>
      </c>
      <c r="E231" s="5">
        <v>3788</v>
      </c>
      <c r="F231" s="5">
        <v>88.5</v>
      </c>
      <c r="G231" s="5">
        <f>IF(F231="North",1,0)</f>
        <v>0</v>
      </c>
      <c r="H231">
        <f>-80484.1+(0.194328*D231)+(6.391292*E231)+(1576.133*F231)+(0*G231)</f>
        <v>98416.535202480009</v>
      </c>
      <c r="I231">
        <f>C231-H231</f>
        <v>516179.78479751991</v>
      </c>
    </row>
    <row r="232" spans="1:9">
      <c r="A232" s="5" t="s">
        <v>76</v>
      </c>
      <c r="B232" s="6">
        <v>45689</v>
      </c>
      <c r="C232" s="5">
        <v>622892.42000000004</v>
      </c>
      <c r="D232" s="5">
        <v>33987.33</v>
      </c>
      <c r="E232" s="5">
        <v>5014</v>
      </c>
      <c r="F232" s="5">
        <v>94.3</v>
      </c>
      <c r="G232" s="5">
        <f>IF(F232="North",1,0)</f>
        <v>0</v>
      </c>
      <c r="H232">
        <f>-80484.1+(0.194328*D232)+(6.391292*E232)+(1576.133*F232)+(0*G232)</f>
        <v>106795.86985223999</v>
      </c>
      <c r="I232">
        <f>C232-H232</f>
        <v>516096.55014776008</v>
      </c>
    </row>
    <row r="233" spans="1:9">
      <c r="A233" s="5" t="s">
        <v>36</v>
      </c>
      <c r="B233" s="6">
        <v>45717</v>
      </c>
      <c r="C233" s="5">
        <v>617291.15</v>
      </c>
      <c r="D233" s="5">
        <v>118910.48</v>
      </c>
      <c r="E233" s="5">
        <v>4022</v>
      </c>
      <c r="F233" s="5">
        <v>87.1</v>
      </c>
      <c r="G233" s="5">
        <f>IF(F233="North",1,0)</f>
        <v>0</v>
      </c>
      <c r="H233">
        <f>-80484.1+(0.194328*D233)+(6.391292*E233)+(1576.133*F233)+(0*G233)</f>
        <v>105610.49648143999</v>
      </c>
      <c r="I233">
        <f>C233-H233</f>
        <v>511680.65351856005</v>
      </c>
    </row>
    <row r="234" spans="1:9">
      <c r="A234" s="5" t="s">
        <v>59</v>
      </c>
      <c r="B234" s="6">
        <v>45658</v>
      </c>
      <c r="C234" s="5">
        <v>614024.91</v>
      </c>
      <c r="D234" s="5">
        <v>51575.68</v>
      </c>
      <c r="E234" s="5">
        <v>5329</v>
      </c>
      <c r="F234" s="5">
        <v>88.1</v>
      </c>
      <c r="G234" s="5">
        <f>IF(F234="North",1,0)</f>
        <v>0</v>
      </c>
      <c r="H234">
        <f>-80484.1+(0.194328*D234)+(6.391292*E234)+(1576.133*F234)+(0*G234)</f>
        <v>102455.01111103999</v>
      </c>
      <c r="I234">
        <f>C234-H234</f>
        <v>511569.89888896002</v>
      </c>
    </row>
    <row r="235" spans="1:9">
      <c r="A235" s="5" t="s">
        <v>32</v>
      </c>
      <c r="B235" s="6">
        <v>45748</v>
      </c>
      <c r="C235" s="5">
        <v>605178</v>
      </c>
      <c r="D235" s="5">
        <v>64882.14</v>
      </c>
      <c r="E235" s="5">
        <v>3642</v>
      </c>
      <c r="F235" s="5">
        <v>87.8</v>
      </c>
      <c r="G235" s="5">
        <f>IF(F235="North",1,0)</f>
        <v>0</v>
      </c>
      <c r="H235">
        <f>-80484.1+(0.194328*D235)+(6.391292*E235)+(1576.133*F235)+(0*G235)</f>
        <v>93785.879365920002</v>
      </c>
      <c r="I235">
        <f>C235-H235</f>
        <v>511392.12063408003</v>
      </c>
    </row>
    <row r="236" spans="1:9">
      <c r="A236" s="5" t="s">
        <v>70</v>
      </c>
      <c r="B236" s="6">
        <v>45689</v>
      </c>
      <c r="C236" s="5">
        <v>611924.27</v>
      </c>
      <c r="D236" s="5">
        <v>51133.43</v>
      </c>
      <c r="E236" s="5">
        <v>5150</v>
      </c>
      <c r="F236" s="5">
        <v>88.5</v>
      </c>
      <c r="G236" s="5">
        <f>IF(F236="North",1,0)</f>
        <v>0</v>
      </c>
      <c r="H236">
        <f>-80484.1+(0.194328*D236)+(6.391292*E236)+(1576.133*F236)+(0*G236)</f>
        <v>101855.48148504001</v>
      </c>
      <c r="I236">
        <f>C236-H236</f>
        <v>510068.78851495998</v>
      </c>
    </row>
    <row r="237" spans="1:9">
      <c r="A237" s="5" t="s">
        <v>85</v>
      </c>
      <c r="B237" s="6">
        <v>45748</v>
      </c>
      <c r="C237" s="5">
        <v>612390.14</v>
      </c>
      <c r="D237" s="5">
        <v>36290.080000000002</v>
      </c>
      <c r="E237" s="5">
        <v>5787</v>
      </c>
      <c r="F237" s="5">
        <v>88.3</v>
      </c>
      <c r="G237" s="5">
        <f>IF(F237="North",1,0)</f>
        <v>0</v>
      </c>
      <c r="H237">
        <f>-80484.1+(0.194328*D237)+(6.391292*E237)+(1576.133*F237)+(0*G237)</f>
        <v>102727.02937023998</v>
      </c>
      <c r="I237">
        <f>C237-H237</f>
        <v>509663.11062976002</v>
      </c>
    </row>
    <row r="238" spans="1:9">
      <c r="A238" s="5" t="s">
        <v>87</v>
      </c>
      <c r="B238" s="6">
        <v>45689</v>
      </c>
      <c r="C238" s="5">
        <v>605751.32999999996</v>
      </c>
      <c r="D238" s="5">
        <v>43288.2</v>
      </c>
      <c r="E238" s="5">
        <v>4783</v>
      </c>
      <c r="F238" s="5">
        <v>87.3</v>
      </c>
      <c r="G238" s="5">
        <f>IF(F238="North",1,0)</f>
        <v>0</v>
      </c>
      <c r="H238">
        <f>-80484.1+(0.194328*D238)+(6.391292*E238)+(1576.133*F238)+(0*G238)</f>
        <v>96093.969865599982</v>
      </c>
      <c r="I238">
        <f>C238-H238</f>
        <v>509657.36013439996</v>
      </c>
    </row>
    <row r="239" spans="1:9">
      <c r="A239" s="5" t="s">
        <v>72</v>
      </c>
      <c r="B239" s="6">
        <v>45717</v>
      </c>
      <c r="C239" s="5">
        <v>607084.92000000004</v>
      </c>
      <c r="D239" s="5">
        <v>35203.230000000003</v>
      </c>
      <c r="E239" s="5">
        <v>6896</v>
      </c>
      <c r="F239" s="5">
        <v>80.8</v>
      </c>
      <c r="G239" s="5">
        <f>IF(F239="North",1,0)</f>
        <v>0</v>
      </c>
      <c r="H239">
        <f>-80484.1+(0.194328*D239)+(6.391292*E239)+(1576.133*F239)+(0*G239)</f>
        <v>97782.769311439988</v>
      </c>
      <c r="I239">
        <f>C239-H239</f>
        <v>509302.15068856004</v>
      </c>
    </row>
    <row r="240" spans="1:9">
      <c r="A240" s="5" t="s">
        <v>44</v>
      </c>
      <c r="B240" s="6">
        <v>45689</v>
      </c>
      <c r="C240" s="5">
        <v>627171.9</v>
      </c>
      <c r="D240" s="5">
        <v>141540.29</v>
      </c>
      <c r="E240" s="5">
        <v>5400</v>
      </c>
      <c r="F240" s="5">
        <v>87</v>
      </c>
      <c r="G240" s="5">
        <f>IF(F240="North",1,0)</f>
        <v>0</v>
      </c>
      <c r="H240">
        <f>-80484.1+(0.194328*D240)+(6.391292*E240)+(1576.133*F240)+(0*G240)</f>
        <v>118657.68927511998</v>
      </c>
      <c r="I240">
        <f>C240-H240</f>
        <v>508514.21072488005</v>
      </c>
    </row>
    <row r="241" spans="1:9">
      <c r="A241" s="5" t="s">
        <v>34</v>
      </c>
      <c r="B241" s="6">
        <v>45658</v>
      </c>
      <c r="C241" s="5">
        <v>622811.74</v>
      </c>
      <c r="D241" s="5">
        <v>46624.05</v>
      </c>
      <c r="E241" s="5">
        <v>5104</v>
      </c>
      <c r="F241" s="5">
        <v>97.3</v>
      </c>
      <c r="G241" s="5">
        <f>IF(F241="North",1,0)</f>
        <v>0</v>
      </c>
      <c r="H241">
        <f>-80484.1+(0.194328*D241)+(6.391292*E241)+(1576.133*F241)+(0*G241)</f>
        <v>114555.1536564</v>
      </c>
      <c r="I241">
        <f>C241-H241</f>
        <v>508256.58634360001</v>
      </c>
    </row>
    <row r="242" spans="1:9">
      <c r="A242" s="5" t="s">
        <v>40</v>
      </c>
      <c r="B242" s="6">
        <v>45689</v>
      </c>
      <c r="C242" s="5">
        <v>630829.93999999994</v>
      </c>
      <c r="D242" s="5">
        <v>53762.92</v>
      </c>
      <c r="E242" s="5">
        <v>6821</v>
      </c>
      <c r="F242" s="5">
        <v>94.6</v>
      </c>
      <c r="G242" s="5">
        <f>IF(F242="North",1,0)</f>
        <v>0</v>
      </c>
      <c r="H242">
        <f>-80484.1+(0.194328*D242)+(6.391292*E242)+(1576.133*F242)+(0*G242)</f>
        <v>122660.72524976</v>
      </c>
      <c r="I242">
        <f>C242-H242</f>
        <v>508169.21475023997</v>
      </c>
    </row>
    <row r="243" spans="1:9">
      <c r="A243" s="5" t="s">
        <v>93</v>
      </c>
      <c r="B243" s="6">
        <v>45717</v>
      </c>
      <c r="C243" s="5">
        <v>609949</v>
      </c>
      <c r="D243" s="5">
        <v>55371.97</v>
      </c>
      <c r="E243" s="5">
        <v>4162</v>
      </c>
      <c r="F243" s="5">
        <v>92</v>
      </c>
      <c r="G243" s="5">
        <f>IF(F243="North",1,0)</f>
        <v>0</v>
      </c>
      <c r="H243">
        <f>-80484.1+(0.194328*D243)+(6.391292*E243)+(1576.133*F243)+(0*G243)</f>
        <v>101881.01749016</v>
      </c>
      <c r="I243">
        <f>C243-H243</f>
        <v>508067.98250983999</v>
      </c>
    </row>
    <row r="244" spans="1:9">
      <c r="A244" s="5" t="s">
        <v>46</v>
      </c>
      <c r="B244" s="6">
        <v>45717</v>
      </c>
      <c r="C244" s="5">
        <v>605775.32999999996</v>
      </c>
      <c r="D244" s="5">
        <v>38752.800000000003</v>
      </c>
      <c r="E244" s="5">
        <v>4712</v>
      </c>
      <c r="F244" s="5">
        <v>89.7</v>
      </c>
      <c r="G244" s="5">
        <f>IF(F244="North",1,0)</f>
        <v>0</v>
      </c>
      <c r="H244">
        <f>-80484.1+(0.194328*D244)+(6.391292*E244)+(1576.133*F244)+(0*G244)</f>
        <v>98541.552122399997</v>
      </c>
      <c r="I244">
        <f>C244-H244</f>
        <v>507233.77787759993</v>
      </c>
    </row>
    <row r="245" spans="1:9">
      <c r="A245" s="5" t="s">
        <v>43</v>
      </c>
      <c r="B245" s="6">
        <v>45689</v>
      </c>
      <c r="C245" s="5">
        <v>611766.72</v>
      </c>
      <c r="D245" s="5">
        <v>88443.77</v>
      </c>
      <c r="E245" s="5">
        <v>4004</v>
      </c>
      <c r="F245" s="5">
        <v>91.9</v>
      </c>
      <c r="G245" s="5">
        <f>IF(F245="North",1,0)</f>
        <v>0</v>
      </c>
      <c r="H245">
        <f>-80484.1+(0.194328*D245)+(6.391292*E245)+(1576.133*F245)+(0*G245)</f>
        <v>107140.35680456</v>
      </c>
      <c r="I245">
        <f>C245-H245</f>
        <v>504626.36319543998</v>
      </c>
    </row>
    <row r="246" spans="1:9">
      <c r="A246" s="5" t="s">
        <v>72</v>
      </c>
      <c r="B246" s="6">
        <v>45658</v>
      </c>
      <c r="C246" s="5">
        <v>598904.9</v>
      </c>
      <c r="D246" s="5">
        <v>22312.93</v>
      </c>
      <c r="E246" s="5">
        <v>5955</v>
      </c>
      <c r="F246" s="5">
        <v>84.2</v>
      </c>
      <c r="G246" s="5">
        <f>IF(F246="North",1,0)</f>
        <v>0</v>
      </c>
      <c r="H246">
        <f>-80484.1+(0.194328*D246)+(6.391292*E246)+(1576.133*F246)+(0*G246)</f>
        <v>94622.46952104001</v>
      </c>
      <c r="I246">
        <f>C246-H246</f>
        <v>504282.43047896004</v>
      </c>
    </row>
    <row r="247" spans="1:9">
      <c r="A247" s="5" t="s">
        <v>44</v>
      </c>
      <c r="B247" s="6">
        <v>45748</v>
      </c>
      <c r="C247" s="5">
        <v>586307.22</v>
      </c>
      <c r="D247" s="5">
        <v>31207.51</v>
      </c>
      <c r="E247" s="5">
        <v>3701</v>
      </c>
      <c r="F247" s="5">
        <v>84.7</v>
      </c>
      <c r="G247" s="5">
        <f>IF(F247="North",1,0)</f>
        <v>0</v>
      </c>
      <c r="H247">
        <f>-80484.1+(0.194328*D247)+(6.391292*E247)+(1576.133*F247)+(0*G247)</f>
        <v>82733.029795280003</v>
      </c>
      <c r="I247">
        <f>C247-H247</f>
        <v>503574.19020471995</v>
      </c>
    </row>
    <row r="248" spans="1:9">
      <c r="A248" s="5" t="s">
        <v>101</v>
      </c>
      <c r="B248" s="6">
        <v>45658</v>
      </c>
      <c r="C248" s="5">
        <v>620264.19999999995</v>
      </c>
      <c r="D248" s="5">
        <v>76614.320000000007</v>
      </c>
      <c r="E248" s="5">
        <v>5639</v>
      </c>
      <c r="F248" s="5">
        <v>92.9</v>
      </c>
      <c r="G248" s="5">
        <f>IF(F248="North",1,0)</f>
        <v>0</v>
      </c>
      <c r="H248">
        <f>-80484.1+(0.194328*D248)+(6.391292*E248)+(1576.133*F248)+(0*G248)</f>
        <v>116867.45886496</v>
      </c>
      <c r="I248">
        <f>C248-H248</f>
        <v>503396.74113503995</v>
      </c>
    </row>
    <row r="249" spans="1:9">
      <c r="A249" s="5" t="s">
        <v>84</v>
      </c>
      <c r="B249" s="6">
        <v>45658</v>
      </c>
      <c r="C249" s="5">
        <v>606783.67000000004</v>
      </c>
      <c r="D249" s="5">
        <v>40923.67</v>
      </c>
      <c r="E249" s="5">
        <v>3875</v>
      </c>
      <c r="F249" s="5">
        <v>96.1</v>
      </c>
      <c r="G249" s="5">
        <f>IF(F249="North",1,0)</f>
        <v>0</v>
      </c>
      <c r="H249">
        <f>-80484.1+(0.194328*D249)+(6.391292*E249)+(1576.133*F249)+(0*G249)</f>
        <v>103701.15274376</v>
      </c>
      <c r="I249">
        <f>C249-H249</f>
        <v>503082.51725624001</v>
      </c>
    </row>
    <row r="250" spans="1:9">
      <c r="A250" s="5" t="s">
        <v>76</v>
      </c>
      <c r="B250" s="6">
        <v>45748</v>
      </c>
      <c r="C250" s="5">
        <v>606278.30000000005</v>
      </c>
      <c r="D250" s="5">
        <v>16451.849999999999</v>
      </c>
      <c r="E250" s="5">
        <v>4678</v>
      </c>
      <c r="F250" s="5">
        <v>95.9</v>
      </c>
      <c r="G250" s="5">
        <f>IF(F250="North",1,0)</f>
        <v>0</v>
      </c>
      <c r="H250">
        <f>-80484.1+(0.194328*D250)+(6.391292*E250)+(1576.133*F250)+(0*G250)</f>
        <v>103762.57378280001</v>
      </c>
      <c r="I250">
        <f>C250-H250</f>
        <v>502515.72621720005</v>
      </c>
    </row>
    <row r="251" spans="1:9">
      <c r="A251" s="5" t="s">
        <v>45</v>
      </c>
      <c r="B251" s="6">
        <v>45748</v>
      </c>
      <c r="C251" s="5">
        <v>607898.12</v>
      </c>
      <c r="D251" s="5">
        <v>9534.65</v>
      </c>
      <c r="E251" s="5">
        <v>6057</v>
      </c>
      <c r="F251" s="5">
        <v>94.1</v>
      </c>
      <c r="G251" s="5">
        <f>IF(F251="North",1,0)</f>
        <v>0</v>
      </c>
      <c r="H251">
        <f>-80484.1+(0.194328*D251)+(6.391292*E251)+(1576.133*F251)+(0*G251)</f>
        <v>108394.92040919999</v>
      </c>
      <c r="I251">
        <f>C251-H251</f>
        <v>499503.19959079998</v>
      </c>
    </row>
    <row r="252" spans="1:9">
      <c r="A252" s="5" t="s">
        <v>39</v>
      </c>
      <c r="B252" s="6">
        <v>45717</v>
      </c>
      <c r="C252" s="5">
        <v>605023.87</v>
      </c>
      <c r="D252" s="5">
        <v>60571.82</v>
      </c>
      <c r="E252" s="5">
        <v>3193</v>
      </c>
      <c r="F252" s="5">
        <v>99</v>
      </c>
      <c r="G252" s="5">
        <f>IF(F252="North",1,0)</f>
        <v>0</v>
      </c>
      <c r="H252">
        <f>-80484.1+(0.194328*D252)+(6.391292*E252)+(1576.133*F252)+(0*G252)</f>
        <v>107731.26299296002</v>
      </c>
      <c r="I252">
        <f>C252-H252</f>
        <v>497292.60700703994</v>
      </c>
    </row>
    <row r="253" spans="1:9">
      <c r="A253" s="5" t="s">
        <v>58</v>
      </c>
      <c r="B253" s="6">
        <v>45717</v>
      </c>
      <c r="C253" s="5">
        <v>601568.87</v>
      </c>
      <c r="D253" s="5">
        <v>53351.7</v>
      </c>
      <c r="E253" s="5">
        <v>4259</v>
      </c>
      <c r="F253" s="5">
        <v>93.7</v>
      </c>
      <c r="G253" s="5">
        <f>IF(F253="North",1,0)</f>
        <v>0</v>
      </c>
      <c r="H253">
        <f>-80484.1+(0.194328*D253)+(6.391292*E253)+(1576.133*F253)+(0*G253)</f>
        <v>104787.80388560001</v>
      </c>
      <c r="I253">
        <f>C253-H253</f>
        <v>496781.06611439999</v>
      </c>
    </row>
    <row r="254" spans="1:9">
      <c r="A254" s="5" t="s">
        <v>79</v>
      </c>
      <c r="B254" s="6">
        <v>45717</v>
      </c>
      <c r="C254" s="5">
        <v>596969.27</v>
      </c>
      <c r="D254" s="5">
        <v>33173.949999999997</v>
      </c>
      <c r="E254" s="5">
        <v>6545</v>
      </c>
      <c r="F254" s="5">
        <v>84.4</v>
      </c>
      <c r="G254" s="5">
        <f>IF(F254="North",1,0)</f>
        <v>0</v>
      </c>
      <c r="H254">
        <f>-80484.1+(0.194328*D254)+(6.391292*E254)+(1576.133*F254)+(0*G254)</f>
        <v>100819.1586956</v>
      </c>
      <c r="I254">
        <f>C254-H254</f>
        <v>496150.11130440002</v>
      </c>
    </row>
    <row r="255" spans="1:9">
      <c r="A255" s="5" t="s">
        <v>61</v>
      </c>
      <c r="B255" s="6">
        <v>45689</v>
      </c>
      <c r="C255" s="5">
        <v>602002.31999999995</v>
      </c>
      <c r="D255" s="5">
        <v>41863.08</v>
      </c>
      <c r="E255" s="5">
        <v>5400</v>
      </c>
      <c r="F255" s="5">
        <v>91.6</v>
      </c>
      <c r="G255" s="5">
        <f>IF(F255="North",1,0)</f>
        <v>0</v>
      </c>
      <c r="H255">
        <f>-80484.1+(0.194328*D255)+(6.391292*E255)+(1576.133*F255)+(0*G255)</f>
        <v>106537.82821023997</v>
      </c>
      <c r="I255">
        <f>C255-H255</f>
        <v>495464.49178975995</v>
      </c>
    </row>
    <row r="256" spans="1:9">
      <c r="A256" s="5" t="s">
        <v>96</v>
      </c>
      <c r="B256" s="6">
        <v>45717</v>
      </c>
      <c r="C256" s="5">
        <v>599017.32999999996</v>
      </c>
      <c r="D256" s="5">
        <v>46174.7</v>
      </c>
      <c r="E256" s="5">
        <v>4898</v>
      </c>
      <c r="F256" s="5">
        <v>91.7</v>
      </c>
      <c r="G256" s="5">
        <f>IF(F256="North",1,0)</f>
        <v>0</v>
      </c>
      <c r="H256">
        <f>-80484.1+(0.194328*D256)+(6.391292*E256)+(1576.133*F256)+(0*G256)</f>
        <v>104324.8814176</v>
      </c>
      <c r="I256">
        <f>C256-H256</f>
        <v>494692.44858239999</v>
      </c>
    </row>
    <row r="257" spans="1:9">
      <c r="A257" s="5" t="s">
        <v>23</v>
      </c>
      <c r="B257" s="6">
        <v>45748</v>
      </c>
      <c r="C257" s="5">
        <v>591619.94999999995</v>
      </c>
      <c r="D257" s="5">
        <v>41441.93</v>
      </c>
      <c r="E257" s="5">
        <v>4865</v>
      </c>
      <c r="F257" s="5">
        <v>88.3</v>
      </c>
      <c r="G257" s="5">
        <f>IF(F257="North",1,0)</f>
        <v>0</v>
      </c>
      <c r="H257">
        <f>-80484.1+(0.194328*D257)+(6.391292*E257)+(1576.133*F257)+(0*G257)</f>
        <v>97835.406853039982</v>
      </c>
      <c r="I257">
        <f>C257-H257</f>
        <v>493784.54314695997</v>
      </c>
    </row>
    <row r="258" spans="1:9">
      <c r="A258" s="5" t="s">
        <v>33</v>
      </c>
      <c r="B258" s="6">
        <v>45748</v>
      </c>
      <c r="C258" s="5">
        <v>585365.73</v>
      </c>
      <c r="D258" s="5">
        <v>42093.84</v>
      </c>
      <c r="E258" s="5">
        <v>4074</v>
      </c>
      <c r="F258" s="5">
        <v>88</v>
      </c>
      <c r="G258" s="5">
        <f>IF(F258="North",1,0)</f>
        <v>0</v>
      </c>
      <c r="H258">
        <f>-80484.1+(0.194328*D258)+(6.391292*E258)+(1576.133*F258)+(0*G258)</f>
        <v>92433.739347519993</v>
      </c>
      <c r="I258">
        <f>C258-H258</f>
        <v>492931.99065247999</v>
      </c>
    </row>
    <row r="259" spans="1:9">
      <c r="A259" s="5" t="s">
        <v>32</v>
      </c>
      <c r="B259" s="6">
        <v>45658</v>
      </c>
      <c r="C259" s="5">
        <v>592195.85</v>
      </c>
      <c r="D259" s="5">
        <v>40462.94</v>
      </c>
      <c r="E259" s="5">
        <v>3660</v>
      </c>
      <c r="F259" s="5">
        <v>95.2</v>
      </c>
      <c r="G259" s="5">
        <f>IF(F259="North",1,0)</f>
        <v>0</v>
      </c>
      <c r="H259">
        <f>-80484.1+(0.194328*D259)+(6.391292*E259)+(1576.133*F259)+(0*G259)</f>
        <v>100818.97252432001</v>
      </c>
      <c r="I259">
        <f>C259-H259</f>
        <v>491376.87747567997</v>
      </c>
    </row>
    <row r="260" spans="1:9">
      <c r="A260" s="5" t="s">
        <v>43</v>
      </c>
      <c r="B260" s="6">
        <v>45658</v>
      </c>
      <c r="C260" s="5">
        <v>574436.29</v>
      </c>
      <c r="D260" s="5">
        <v>55388.11</v>
      </c>
      <c r="E260" s="5">
        <v>3091</v>
      </c>
      <c r="F260" s="5">
        <v>85.4</v>
      </c>
      <c r="G260" s="5">
        <f>IF(F260="North",1,0)</f>
        <v>0</v>
      </c>
      <c r="H260">
        <f>-80484.1+(0.194328*D260)+(6.391292*E260)+(1576.133*F260)+(0*G260)</f>
        <v>84636.602412079999</v>
      </c>
      <c r="I260">
        <f>C260-H260</f>
        <v>489799.68758792005</v>
      </c>
    </row>
    <row r="261" spans="1:9">
      <c r="A261" s="5" t="s">
        <v>55</v>
      </c>
      <c r="B261" s="6">
        <v>45717</v>
      </c>
      <c r="C261" s="5">
        <v>593247.25</v>
      </c>
      <c r="D261" s="5">
        <v>52285.45</v>
      </c>
      <c r="E261" s="5">
        <v>3618</v>
      </c>
      <c r="F261" s="5">
        <v>95.6</v>
      </c>
      <c r="G261" s="5">
        <f>IF(F261="North",1,0)</f>
        <v>0</v>
      </c>
      <c r="H261">
        <f>-80484.1+(0.194328*D261)+(6.391292*E261)+(1576.133*F261)+(0*G261)</f>
        <v>103478.43618359999</v>
      </c>
      <c r="I261">
        <f>C261-H261</f>
        <v>489768.81381640001</v>
      </c>
    </row>
    <row r="262" spans="1:9">
      <c r="A262" s="5" t="s">
        <v>42</v>
      </c>
      <c r="B262" s="6">
        <v>45748</v>
      </c>
      <c r="C262" s="5">
        <v>569100.78</v>
      </c>
      <c r="D262" s="5">
        <v>36475.71</v>
      </c>
      <c r="E262" s="5">
        <v>3559</v>
      </c>
      <c r="F262" s="5">
        <v>83.6</v>
      </c>
      <c r="G262" s="5">
        <f>IF(F262="North",1,0)</f>
        <v>0</v>
      </c>
      <c r="H262">
        <f>-80484.1+(0.194328*D262)+(6.391292*E262)+(1576.133*F262)+(0*G262)</f>
        <v>81115.478800879995</v>
      </c>
      <c r="I262">
        <f>C262-H262</f>
        <v>487985.30119912</v>
      </c>
    </row>
    <row r="263" spans="1:9">
      <c r="A263" s="5" t="s">
        <v>64</v>
      </c>
      <c r="B263" s="6">
        <v>45689</v>
      </c>
      <c r="C263" s="5">
        <v>593637.14</v>
      </c>
      <c r="D263" s="5">
        <v>32834.480000000003</v>
      </c>
      <c r="E263" s="5">
        <v>7576</v>
      </c>
      <c r="F263" s="5">
        <v>84.1</v>
      </c>
      <c r="G263" s="5">
        <f>IF(F263="North",1,0)</f>
        <v>0</v>
      </c>
      <c r="H263">
        <f>-80484.1+(0.194328*D263)+(6.391292*E263)+(1576.133*F263)+(0*G263)</f>
        <v>106869.77232143999</v>
      </c>
      <c r="I263">
        <f>C263-H263</f>
        <v>486767.36767856003</v>
      </c>
    </row>
    <row r="264" spans="1:9">
      <c r="A264" s="5" t="s">
        <v>45</v>
      </c>
      <c r="B264" s="6">
        <v>45658</v>
      </c>
      <c r="C264" s="5">
        <v>585937.48</v>
      </c>
      <c r="D264" s="5">
        <v>38966.589999999997</v>
      </c>
      <c r="E264" s="5">
        <v>4509</v>
      </c>
      <c r="F264" s="5">
        <v>91.1</v>
      </c>
      <c r="G264" s="5">
        <f>IF(F264="North",1,0)</f>
        <v>0</v>
      </c>
      <c r="H264">
        <f>-80484.1+(0.194328*D264)+(6.391292*E264)+(1576.133*F264)+(0*G264)</f>
        <v>99492.251429519994</v>
      </c>
      <c r="I264">
        <f>C264-H264</f>
        <v>486445.22857048002</v>
      </c>
    </row>
    <row r="265" spans="1:9">
      <c r="A265" s="5" t="s">
        <v>89</v>
      </c>
      <c r="B265" s="6">
        <v>45748</v>
      </c>
      <c r="C265" s="5">
        <v>593343</v>
      </c>
      <c r="D265" s="5">
        <v>29344.93</v>
      </c>
      <c r="E265" s="5">
        <v>7446</v>
      </c>
      <c r="F265" s="5">
        <v>86.2</v>
      </c>
      <c r="G265" s="5">
        <f>IF(F265="North",1,0)</f>
        <v>0</v>
      </c>
      <c r="H265">
        <f>-80484.1+(0.194328*D265)+(6.391292*E265)+(1576.133*F265)+(0*G265)</f>
        <v>108670.66638904001</v>
      </c>
      <c r="I265">
        <f>C265-H265</f>
        <v>484672.33361095999</v>
      </c>
    </row>
    <row r="266" spans="1:9">
      <c r="A266" s="5" t="s">
        <v>47</v>
      </c>
      <c r="B266" s="6">
        <v>45689</v>
      </c>
      <c r="C266" s="5">
        <v>586626.93999999994</v>
      </c>
      <c r="D266" s="5">
        <v>63101.59</v>
      </c>
      <c r="E266" s="5">
        <v>4373</v>
      </c>
      <c r="F266" s="5">
        <v>90.4</v>
      </c>
      <c r="G266" s="5">
        <f>IF(F266="North",1,0)</f>
        <v>0</v>
      </c>
      <c r="H266">
        <f>-80484.1+(0.194328*D266)+(6.391292*E266)+(1576.133*F266)+(0*G266)</f>
        <v>102209.84889752002</v>
      </c>
      <c r="I266">
        <f>C266-H266</f>
        <v>484417.09110247996</v>
      </c>
    </row>
    <row r="267" spans="1:9">
      <c r="A267" s="5" t="s">
        <v>33</v>
      </c>
      <c r="B267" s="6">
        <v>45689</v>
      </c>
      <c r="C267" s="5">
        <v>599603.4</v>
      </c>
      <c r="D267" s="5">
        <v>63630.21</v>
      </c>
      <c r="E267" s="5">
        <v>4460</v>
      </c>
      <c r="F267" s="5">
        <v>98.6</v>
      </c>
      <c r="G267" s="5">
        <f>IF(F267="North",1,0)</f>
        <v>0</v>
      </c>
      <c r="H267">
        <f>-80484.1+(0.194328*D267)+(6.391292*E267)+(1576.133*F267)+(0*G267)</f>
        <v>115792.90756887999</v>
      </c>
      <c r="I267">
        <f>C267-H267</f>
        <v>483810.49243112002</v>
      </c>
    </row>
    <row r="268" spans="1:9">
      <c r="A268" s="5" t="s">
        <v>71</v>
      </c>
      <c r="B268" s="6">
        <v>45717</v>
      </c>
      <c r="C268" s="5">
        <v>578949.84</v>
      </c>
      <c r="D268" s="5">
        <v>54479.33</v>
      </c>
      <c r="E268" s="5">
        <v>5012</v>
      </c>
      <c r="F268" s="5">
        <v>86</v>
      </c>
      <c r="G268" s="5">
        <f>IF(F268="North",1,0)</f>
        <v>0</v>
      </c>
      <c r="H268">
        <f>-80484.1+(0.194328*D268)+(6.391292*E268)+(1576.133*F268)+(0*G268)</f>
        <v>97683.352744239979</v>
      </c>
      <c r="I268">
        <f>C268-H268</f>
        <v>481266.48725576</v>
      </c>
    </row>
    <row r="269" spans="1:9">
      <c r="A269" s="5" t="s">
        <v>90</v>
      </c>
      <c r="B269" s="6">
        <v>45689</v>
      </c>
      <c r="C269" s="5">
        <v>561597.32999999996</v>
      </c>
      <c r="D269" s="5">
        <v>17562.57</v>
      </c>
      <c r="E269" s="5">
        <v>3326</v>
      </c>
      <c r="F269" s="5">
        <v>88.1</v>
      </c>
      <c r="G269" s="5">
        <f>IF(F269="North",1,0)</f>
        <v>0</v>
      </c>
      <c r="H269">
        <f>-80484.1+(0.194328*D269)+(6.391292*E269)+(1576.133*F269)+(0*G269)</f>
        <v>83043.553594959987</v>
      </c>
      <c r="I269">
        <f>C269-H269</f>
        <v>478553.77640503994</v>
      </c>
    </row>
    <row r="270" spans="1:9">
      <c r="A270" s="5" t="s">
        <v>37</v>
      </c>
      <c r="B270" s="6">
        <v>45717</v>
      </c>
      <c r="C270" s="5">
        <v>572011.19999999995</v>
      </c>
      <c r="D270" s="5">
        <v>50343.19</v>
      </c>
      <c r="E270" s="5">
        <v>3845</v>
      </c>
      <c r="F270" s="5">
        <v>88.7</v>
      </c>
      <c r="G270" s="5">
        <f>IF(F270="North",1,0)</f>
        <v>0</v>
      </c>
      <c r="H270">
        <f>-80484.1+(0.194328*D270)+(6.391292*E270)+(1576.133*F270)+(0*G270)</f>
        <v>93676.506266319993</v>
      </c>
      <c r="I270">
        <f>C270-H270</f>
        <v>478334.69373367995</v>
      </c>
    </row>
    <row r="271" spans="1:9">
      <c r="A271" s="5" t="s">
        <v>25</v>
      </c>
      <c r="B271" s="6">
        <v>45717</v>
      </c>
      <c r="C271" s="5">
        <v>555929.4</v>
      </c>
      <c r="D271" s="5">
        <v>42267.37</v>
      </c>
      <c r="E271" s="5">
        <v>3364</v>
      </c>
      <c r="F271" s="5">
        <v>82</v>
      </c>
      <c r="G271" s="5">
        <f>IF(F271="North",1,0)</f>
        <v>0</v>
      </c>
      <c r="H271">
        <f>-80484.1+(0.194328*D271)+(6.391292*E271)+(1576.133*F271)+(0*G271)</f>
        <v>78472.845765359991</v>
      </c>
      <c r="I271">
        <f>C271-H271</f>
        <v>477456.55423464003</v>
      </c>
    </row>
    <row r="272" spans="1:9">
      <c r="A272" s="5" t="s">
        <v>58</v>
      </c>
      <c r="B272" s="6">
        <v>45748</v>
      </c>
      <c r="C272" s="5">
        <v>570964.84</v>
      </c>
      <c r="D272" s="5">
        <v>60322.400000000001</v>
      </c>
      <c r="E272" s="5">
        <v>3350</v>
      </c>
      <c r="F272" s="5">
        <v>89.4</v>
      </c>
      <c r="G272" s="5">
        <f>IF(F272="North",1,0)</f>
        <v>0</v>
      </c>
      <c r="H272">
        <f>-80484.1+(0.194328*D272)+(6.391292*E272)+(1576.133*F272)+(0*G272)</f>
        <v>93555.349747200016</v>
      </c>
      <c r="I272">
        <f>C272-H272</f>
        <v>477409.49025279994</v>
      </c>
    </row>
    <row r="273" spans="1:9">
      <c r="A273" s="5" t="s">
        <v>33</v>
      </c>
      <c r="B273" s="6">
        <v>45658</v>
      </c>
      <c r="C273" s="5">
        <v>595467.6</v>
      </c>
      <c r="D273" s="5">
        <v>138855.51</v>
      </c>
      <c r="E273" s="5">
        <v>5145</v>
      </c>
      <c r="F273" s="5">
        <v>88.2</v>
      </c>
      <c r="G273" s="5">
        <f>IF(F273="North",1,0)</f>
        <v>0</v>
      </c>
      <c r="H273">
        <f>-80484.1+(0.194328*D273)+(6.391292*E273)+(1576.133*F273)+(0*G273)</f>
        <v>118397.54148728002</v>
      </c>
      <c r="I273">
        <f>C273-H273</f>
        <v>477070.05851271993</v>
      </c>
    </row>
    <row r="274" spans="1:9">
      <c r="A274" s="5" t="s">
        <v>23</v>
      </c>
      <c r="B274" s="6">
        <v>45689</v>
      </c>
      <c r="C274" s="5">
        <v>573155.18999999994</v>
      </c>
      <c r="D274" s="5">
        <v>59117.9</v>
      </c>
      <c r="E274" s="5">
        <v>4263</v>
      </c>
      <c r="F274" s="5">
        <v>87.6</v>
      </c>
      <c r="G274" s="5">
        <f>IF(F274="North",1,0)</f>
        <v>0</v>
      </c>
      <c r="H274">
        <f>-80484.1+(0.194328*D274)+(6.391292*E274)+(1576.133*F274)+(0*G274)</f>
        <v>96319.491867200006</v>
      </c>
      <c r="I274">
        <f>C274-H274</f>
        <v>476835.69813279994</v>
      </c>
    </row>
    <row r="275" spans="1:9">
      <c r="A275" s="5" t="s">
        <v>58</v>
      </c>
      <c r="B275" s="6">
        <v>45658</v>
      </c>
      <c r="C275" s="5">
        <v>577732.56999999995</v>
      </c>
      <c r="D275" s="5">
        <v>70488.2</v>
      </c>
      <c r="E275" s="5">
        <v>4312</v>
      </c>
      <c r="F275" s="5">
        <v>90.2</v>
      </c>
      <c r="G275" s="5">
        <f>IF(F275="North",1,0)</f>
        <v>0</v>
      </c>
      <c r="H275">
        <f>-80484.1+(0.194328*D275)+(6.391292*E275)+(1576.133*F275)+(0*G275)</f>
        <v>102940.17863359998</v>
      </c>
      <c r="I275">
        <f>C275-H275</f>
        <v>474792.39136639994</v>
      </c>
    </row>
    <row r="276" spans="1:9">
      <c r="A276" s="5" t="s">
        <v>71</v>
      </c>
      <c r="B276" s="6">
        <v>45689</v>
      </c>
      <c r="C276" s="5">
        <v>574066.61</v>
      </c>
      <c r="D276" s="5">
        <v>54002.83</v>
      </c>
      <c r="E276" s="5">
        <v>4366</v>
      </c>
      <c r="F276" s="5">
        <v>90.6</v>
      </c>
      <c r="G276" s="5">
        <f>IF(F276="North",1,0)</f>
        <v>0</v>
      </c>
      <c r="H276">
        <f>-80484.1+(0.194328*D276)+(6.391292*E276)+(1576.133*F276)+(0*G276)</f>
        <v>100712.19262023998</v>
      </c>
      <c r="I276">
        <f>C276-H276</f>
        <v>473354.41737976001</v>
      </c>
    </row>
    <row r="277" spans="1:9">
      <c r="A277" s="5" t="s">
        <v>25</v>
      </c>
      <c r="B277" s="6">
        <v>45748</v>
      </c>
      <c r="C277" s="5">
        <v>565810.99</v>
      </c>
      <c r="D277" s="5">
        <v>62060.43</v>
      </c>
      <c r="E277" s="5">
        <v>2613</v>
      </c>
      <c r="F277" s="5">
        <v>92.1</v>
      </c>
      <c r="G277" s="5">
        <f>IF(F277="North",1,0)</f>
        <v>0</v>
      </c>
      <c r="H277">
        <f>-80484.1+(0.194328*D277)+(6.391292*E277)+(1576.133*F277)+(0*G277)</f>
        <v>93438.274537039993</v>
      </c>
      <c r="I277">
        <f>C277-H277</f>
        <v>472372.71546296001</v>
      </c>
    </row>
    <row r="278" spans="1:9">
      <c r="A278" s="5" t="s">
        <v>70</v>
      </c>
      <c r="B278" s="6">
        <v>45717</v>
      </c>
      <c r="C278" s="5">
        <v>559422.02</v>
      </c>
      <c r="D278" s="5">
        <v>40220.18</v>
      </c>
      <c r="E278" s="5">
        <v>3783</v>
      </c>
      <c r="F278" s="5">
        <v>86.6</v>
      </c>
      <c r="G278" s="5">
        <f>IF(F278="North",1,0)</f>
        <v>0</v>
      </c>
      <c r="H278">
        <f>-80484.1+(0.194328*D278)+(6.391292*E278)+(1576.133*F278)+(0*G278)</f>
        <v>88003.182575040002</v>
      </c>
      <c r="I278">
        <f>C278-H278</f>
        <v>471418.83742495999</v>
      </c>
    </row>
    <row r="279" spans="1:9">
      <c r="A279" s="5" t="s">
        <v>79</v>
      </c>
      <c r="B279" s="6">
        <v>45658</v>
      </c>
      <c r="C279" s="5">
        <v>570963.31000000006</v>
      </c>
      <c r="D279" s="5">
        <v>37324.230000000003</v>
      </c>
      <c r="E279" s="5">
        <v>5957</v>
      </c>
      <c r="F279" s="5">
        <v>85.9</v>
      </c>
      <c r="G279" s="5">
        <f>IF(F279="North",1,0)</f>
        <v>0</v>
      </c>
      <c r="H279">
        <f>-80484.1+(0.194328*D279)+(6.391292*E279)+(1576.133*F279)+(0*G279)</f>
        <v>100231.79411144002</v>
      </c>
      <c r="I279">
        <f>C279-H279</f>
        <v>470731.51588856004</v>
      </c>
    </row>
    <row r="280" spans="1:9">
      <c r="A280" s="5" t="s">
        <v>101</v>
      </c>
      <c r="B280" s="6">
        <v>45748</v>
      </c>
      <c r="C280" s="5">
        <v>559660.84</v>
      </c>
      <c r="D280" s="5">
        <v>40553.11</v>
      </c>
      <c r="E280" s="5">
        <v>5317</v>
      </c>
      <c r="F280" s="5">
        <v>84.3</v>
      </c>
      <c r="G280" s="5">
        <f>IF(F280="North",1,0)</f>
        <v>0</v>
      </c>
      <c r="H280">
        <f>-80484.1+(0.194328*D280)+(6.391292*E280)+(1576.133*F280)+(0*G280)</f>
        <v>94247.016224079998</v>
      </c>
      <c r="I280">
        <f>C280-H280</f>
        <v>465413.82377591997</v>
      </c>
    </row>
    <row r="281" spans="1:9">
      <c r="A281" s="5" t="s">
        <v>52</v>
      </c>
      <c r="B281" s="6">
        <v>45717</v>
      </c>
      <c r="C281" s="5">
        <v>557487.26</v>
      </c>
      <c r="D281" s="5">
        <v>48396.13</v>
      </c>
      <c r="E281" s="5">
        <v>4423</v>
      </c>
      <c r="F281" s="5">
        <v>85.7</v>
      </c>
      <c r="G281" s="5">
        <f>IF(F281="North",1,0)</f>
        <v>0</v>
      </c>
      <c r="H281">
        <f>-80484.1+(0.194328*D281)+(6.391292*E281)+(1576.133*F281)+(0*G281)</f>
        <v>92263.905766640004</v>
      </c>
      <c r="I281">
        <f>C281-H281</f>
        <v>465223.35423336003</v>
      </c>
    </row>
    <row r="282" spans="1:9">
      <c r="A282" s="5" t="s">
        <v>32</v>
      </c>
      <c r="B282" s="6">
        <v>45689</v>
      </c>
      <c r="C282" s="5">
        <v>532644.46</v>
      </c>
      <c r="D282" s="5">
        <v>46123.88</v>
      </c>
      <c r="E282" s="5">
        <v>3227</v>
      </c>
      <c r="F282" s="5">
        <v>75.400000000000006</v>
      </c>
      <c r="G282" s="5">
        <f>IF(F282="North",1,0)</f>
        <v>0</v>
      </c>
      <c r="H282">
        <f>-80484.1+(0.194328*D282)+(6.391292*E282)+(1576.133*F282)+(0*G282)</f>
        <v>67944.188836640009</v>
      </c>
      <c r="I282">
        <f>C282-H282</f>
        <v>464700.27116335998</v>
      </c>
    </row>
    <row r="283" spans="1:9">
      <c r="A283" s="5" t="s">
        <v>93</v>
      </c>
      <c r="B283" s="6">
        <v>45748</v>
      </c>
      <c r="C283" s="5">
        <v>548103.69999999995</v>
      </c>
      <c r="D283" s="5">
        <v>40928.69</v>
      </c>
      <c r="E283" s="5">
        <v>4094</v>
      </c>
      <c r="F283" s="5">
        <v>82.4</v>
      </c>
      <c r="G283" s="5">
        <f>IF(F283="North",1,0)</f>
        <v>0</v>
      </c>
      <c r="H283">
        <f>-80484.1+(0.194328*D283)+(6.391292*E283)+(1576.133*F283)+(0*G283)</f>
        <v>83508.799118320007</v>
      </c>
      <c r="I283">
        <f>C283-H283</f>
        <v>464594.90088167996</v>
      </c>
    </row>
    <row r="284" spans="1:9">
      <c r="A284" s="5" t="s">
        <v>92</v>
      </c>
      <c r="B284" s="6">
        <v>45689</v>
      </c>
      <c r="C284" s="5">
        <v>555557.77</v>
      </c>
      <c r="D284" s="5">
        <v>34771.26</v>
      </c>
      <c r="E284" s="5">
        <v>4355</v>
      </c>
      <c r="F284" s="5">
        <v>87.9</v>
      </c>
      <c r="G284" s="5">
        <f>IF(F284="North",1,0)</f>
        <v>0</v>
      </c>
      <c r="H284">
        <f>-80484.1+(0.194328*D284)+(6.391292*E284)+(1576.133*F284)+(0*G284)</f>
        <v>92649.096773280005</v>
      </c>
      <c r="I284">
        <f>C284-H284</f>
        <v>462908.67322672001</v>
      </c>
    </row>
    <row r="285" spans="1:9">
      <c r="A285" s="5" t="s">
        <v>78</v>
      </c>
      <c r="B285" s="6">
        <v>45689</v>
      </c>
      <c r="C285" s="5">
        <v>536545.49</v>
      </c>
      <c r="D285" s="5">
        <v>57225.98</v>
      </c>
      <c r="E285" s="5">
        <v>2842</v>
      </c>
      <c r="F285" s="5">
        <v>79.5</v>
      </c>
      <c r="G285" s="5">
        <f>IF(F285="North",1,0)</f>
        <v>0</v>
      </c>
      <c r="H285">
        <f>-80484.1+(0.194328*D285)+(6.391292*E285)+(1576.133*F285)+(0*G285)</f>
        <v>74103.135605440009</v>
      </c>
      <c r="I285">
        <f>C285-H285</f>
        <v>462442.35439455998</v>
      </c>
    </row>
    <row r="286" spans="1:9">
      <c r="A286" s="5" t="s">
        <v>69</v>
      </c>
      <c r="B286" s="6">
        <v>45689</v>
      </c>
      <c r="C286" s="5">
        <v>550962.93000000005</v>
      </c>
      <c r="D286" s="5">
        <v>55788.61</v>
      </c>
      <c r="E286" s="5">
        <v>2312</v>
      </c>
      <c r="F286" s="5">
        <v>91.3</v>
      </c>
      <c r="G286" s="5">
        <f>IF(F286="North",1,0)</f>
        <v>0</v>
      </c>
      <c r="H286">
        <f>-80484.1+(0.194328*D286)+(6.391292*E286)+(1576.133*F286)+(0*G286)</f>
        <v>89034.799008079979</v>
      </c>
      <c r="I286">
        <f>C286-H286</f>
        <v>461928.13099192007</v>
      </c>
    </row>
    <row r="287" spans="1:9">
      <c r="A287" s="5" t="s">
        <v>36</v>
      </c>
      <c r="B287" s="6">
        <v>45748</v>
      </c>
      <c r="C287" s="5">
        <v>553756.43000000005</v>
      </c>
      <c r="D287" s="5">
        <v>52952.12</v>
      </c>
      <c r="E287" s="5">
        <v>4377</v>
      </c>
      <c r="F287" s="5">
        <v>88.6</v>
      </c>
      <c r="G287" s="5">
        <f>IF(F287="North",1,0)</f>
        <v>0</v>
      </c>
      <c r="H287">
        <f>-80484.1+(0.194328*D287)+(6.391292*E287)+(1576.133*F287)+(0*G287)</f>
        <v>97426.048459359969</v>
      </c>
      <c r="I287">
        <f>C287-H287</f>
        <v>456330.38154064008</v>
      </c>
    </row>
    <row r="288" spans="1:9">
      <c r="A288" s="5" t="s">
        <v>69</v>
      </c>
      <c r="B288" s="6">
        <v>45748</v>
      </c>
      <c r="C288" s="5">
        <v>554012.06999999995</v>
      </c>
      <c r="D288" s="5">
        <v>54966.18</v>
      </c>
      <c r="E288" s="5">
        <v>4423</v>
      </c>
      <c r="F288" s="5">
        <v>88.7</v>
      </c>
      <c r="G288" s="5">
        <f>IF(F288="North",1,0)</f>
        <v>0</v>
      </c>
      <c r="H288">
        <f>-80484.1+(0.194328*D288)+(6.391292*E288)+(1576.133*F288)+(0*G288)</f>
        <v>98269.049443040014</v>
      </c>
      <c r="I288">
        <f>C288-H288</f>
        <v>455743.02055695991</v>
      </c>
    </row>
    <row r="289" spans="1:9">
      <c r="A289" s="5" t="s">
        <v>95</v>
      </c>
      <c r="B289" s="6">
        <v>45658</v>
      </c>
      <c r="C289" s="5">
        <v>546223.69999999995</v>
      </c>
      <c r="D289" s="5">
        <v>51996.32</v>
      </c>
      <c r="E289" s="5">
        <v>3834</v>
      </c>
      <c r="F289" s="5">
        <v>86.7</v>
      </c>
      <c r="G289" s="5">
        <f>IF(F289="North",1,0)</f>
        <v>0</v>
      </c>
      <c r="H289">
        <f>-80484.1+(0.194328*D289)+(6.391292*E289)+(1576.133*F289)+(0*G289)</f>
        <v>90775.185500960011</v>
      </c>
      <c r="I289">
        <f>C289-H289</f>
        <v>455448.51449903997</v>
      </c>
    </row>
    <row r="290" spans="1:9">
      <c r="A290" s="5" t="s">
        <v>99</v>
      </c>
      <c r="B290" s="6">
        <v>45689</v>
      </c>
      <c r="C290" s="5">
        <v>536524.84</v>
      </c>
      <c r="D290" s="5">
        <v>23702.38</v>
      </c>
      <c r="E290" s="5">
        <v>5285</v>
      </c>
      <c r="F290" s="5">
        <v>79.7</v>
      </c>
      <c r="G290" s="5">
        <f>IF(F290="North",1,0)</f>
        <v>0</v>
      </c>
      <c r="H290">
        <f>-80484.1+(0.194328*D290)+(6.391292*E290)+(1576.133*F290)+(0*G290)</f>
        <v>83517.714420639997</v>
      </c>
      <c r="I290">
        <f>C290-H290</f>
        <v>453007.12557935994</v>
      </c>
    </row>
    <row r="291" spans="1:9">
      <c r="A291" s="5" t="s">
        <v>29</v>
      </c>
      <c r="B291" s="6">
        <v>45689</v>
      </c>
      <c r="C291" s="5">
        <v>537383.79</v>
      </c>
      <c r="D291" s="5">
        <v>63176.73</v>
      </c>
      <c r="E291" s="5">
        <v>2390</v>
      </c>
      <c r="F291" s="5">
        <v>87.5</v>
      </c>
      <c r="G291" s="5">
        <f>IF(F291="North",1,0)</f>
        <v>0</v>
      </c>
      <c r="H291">
        <f>-80484.1+(0.194328*D291)+(6.391292*E291)+(1576.133*F291)+(0*G291)</f>
        <v>84979.73296744001</v>
      </c>
      <c r="I291">
        <f>C291-H291</f>
        <v>452404.05703256</v>
      </c>
    </row>
    <row r="292" spans="1:9">
      <c r="A292" s="5" t="s">
        <v>101</v>
      </c>
      <c r="B292" s="6">
        <v>45689</v>
      </c>
      <c r="C292" s="5">
        <v>536845.42000000004</v>
      </c>
      <c r="D292" s="5">
        <v>24088.06</v>
      </c>
      <c r="E292" s="5">
        <v>3466</v>
      </c>
      <c r="F292" s="5">
        <v>88</v>
      </c>
      <c r="G292" s="5">
        <f>IF(F292="North",1,0)</f>
        <v>0</v>
      </c>
      <c r="H292">
        <f>-80484.1+(0.194328*D292)+(6.391292*E292)+(1576.133*F292)+(0*G292)</f>
        <v>85048.806595679998</v>
      </c>
      <c r="I292">
        <f>C292-H292</f>
        <v>451796.61340432003</v>
      </c>
    </row>
    <row r="293" spans="1:9">
      <c r="A293" s="5" t="s">
        <v>95</v>
      </c>
      <c r="B293" s="6">
        <v>45689</v>
      </c>
      <c r="C293" s="5">
        <v>533121.26</v>
      </c>
      <c r="D293" s="5">
        <v>40102.879999999997</v>
      </c>
      <c r="E293" s="5">
        <v>2358</v>
      </c>
      <c r="F293" s="5">
        <v>88.7</v>
      </c>
      <c r="G293" s="5">
        <f>IF(F293="North",1,0)</f>
        <v>0</v>
      </c>
      <c r="H293">
        <f>-80484.1+(0.194328*D293)+(6.391292*E293)+(1576.133*F293)+(0*G293)</f>
        <v>82182.676100640005</v>
      </c>
      <c r="I293">
        <f>C293-H293</f>
        <v>450938.58389936003</v>
      </c>
    </row>
    <row r="294" spans="1:9">
      <c r="A294" s="5" t="s">
        <v>87</v>
      </c>
      <c r="B294" s="6">
        <v>45658</v>
      </c>
      <c r="C294" s="5">
        <v>528852.62</v>
      </c>
      <c r="D294" s="5">
        <v>14519.37</v>
      </c>
      <c r="E294" s="5">
        <v>3047</v>
      </c>
      <c r="F294" s="5">
        <v>90.3</v>
      </c>
      <c r="G294" s="5">
        <f>IF(F294="North",1,0)</f>
        <v>0</v>
      </c>
      <c r="H294">
        <f>-80484.1+(0.194328*D294)+(6.391292*E294)+(1576.133*F294)+(0*G294)</f>
        <v>84136.496757359986</v>
      </c>
      <c r="I294">
        <f>C294-H294</f>
        <v>444716.12324263999</v>
      </c>
    </row>
    <row r="295" spans="1:9">
      <c r="A295" s="5" t="s">
        <v>78</v>
      </c>
      <c r="B295" s="6">
        <v>45717</v>
      </c>
      <c r="C295" s="5">
        <v>527681.56000000006</v>
      </c>
      <c r="D295" s="5">
        <v>42932.02</v>
      </c>
      <c r="E295" s="5">
        <v>3872</v>
      </c>
      <c r="F295" s="5">
        <v>83.2</v>
      </c>
      <c r="G295" s="5">
        <f>IF(F295="North",1,0)</f>
        <v>0</v>
      </c>
      <c r="H295">
        <f>-80484.1+(0.194328*D295)+(6.391292*E295)+(1576.133*F295)+(0*G295)</f>
        <v>83740.141806560016</v>
      </c>
      <c r="I295">
        <f>C295-H295</f>
        <v>443941.41819344007</v>
      </c>
    </row>
    <row r="296" spans="1:9">
      <c r="A296" s="5" t="s">
        <v>78</v>
      </c>
      <c r="B296" s="6">
        <v>45748</v>
      </c>
      <c r="C296" s="5">
        <v>529598.93999999994</v>
      </c>
      <c r="D296" s="5">
        <v>39341.449999999997</v>
      </c>
      <c r="E296" s="5">
        <v>1375</v>
      </c>
      <c r="F296" s="5">
        <v>95</v>
      </c>
      <c r="G296" s="5">
        <f>IF(F296="North",1,0)</f>
        <v>0</v>
      </c>
      <c r="H296">
        <f>-80484.1+(0.194328*D296)+(6.391292*E296)+(1576.133*F296)+(0*G296)</f>
        <v>85681.70679560001</v>
      </c>
      <c r="I296">
        <f>C296-H296</f>
        <v>443917.23320439993</v>
      </c>
    </row>
    <row r="297" spans="1:9">
      <c r="A297" s="5" t="s">
        <v>55</v>
      </c>
      <c r="B297" s="6">
        <v>45748</v>
      </c>
      <c r="C297" s="5">
        <v>529075.94999999995</v>
      </c>
      <c r="D297" s="5">
        <v>70366.759999999995</v>
      </c>
      <c r="E297" s="5">
        <v>1963</v>
      </c>
      <c r="F297" s="5">
        <v>89.8</v>
      </c>
      <c r="G297" s="5">
        <f>IF(F297="North",1,0)</f>
        <v>0</v>
      </c>
      <c r="H297">
        <f>-80484.1+(0.194328*D297)+(6.391292*E297)+(1576.133*F297)+(0*G297)</f>
        <v>87272.981333280011</v>
      </c>
      <c r="I297">
        <f>C297-H297</f>
        <v>441802.96866671997</v>
      </c>
    </row>
    <row r="298" spans="1:9">
      <c r="A298" s="5" t="s">
        <v>92</v>
      </c>
      <c r="B298" s="6">
        <v>45658</v>
      </c>
      <c r="C298" s="5">
        <v>524899.56999999995</v>
      </c>
      <c r="D298" s="5">
        <v>45940.39</v>
      </c>
      <c r="E298" s="5">
        <v>4022</v>
      </c>
      <c r="F298" s="5">
        <v>83</v>
      </c>
      <c r="G298" s="5">
        <f>IF(F298="North",1,0)</f>
        <v>0</v>
      </c>
      <c r="H298">
        <f>-80484.1+(0.194328*D298)+(6.391292*E298)+(1576.133*F298)+(0*G298)</f>
        <v>84968.219531919996</v>
      </c>
      <c r="I298">
        <f>C298-H298</f>
        <v>439931.35046807997</v>
      </c>
    </row>
    <row r="299" spans="1:9">
      <c r="A299" s="5" t="s">
        <v>58</v>
      </c>
      <c r="B299" s="6">
        <v>45689</v>
      </c>
      <c r="C299" s="5">
        <v>537058.32999999996</v>
      </c>
      <c r="D299" s="5">
        <v>50909.27</v>
      </c>
      <c r="E299" s="5">
        <v>3152</v>
      </c>
      <c r="F299" s="5">
        <v>93.7</v>
      </c>
      <c r="G299" s="5">
        <f>IF(F299="North",1,0)</f>
        <v>0</v>
      </c>
      <c r="H299">
        <f>-80484.1+(0.194328*D299)+(6.391292*E299)+(1576.133*F299)+(0*G299)</f>
        <v>97238.011104560006</v>
      </c>
      <c r="I299">
        <f>C299-H299</f>
        <v>439820.31889543997</v>
      </c>
    </row>
    <row r="300" spans="1:9">
      <c r="A300" s="5" t="s">
        <v>55</v>
      </c>
      <c r="B300" s="6">
        <v>45658</v>
      </c>
      <c r="C300" s="5">
        <v>527300.13</v>
      </c>
      <c r="D300" s="5">
        <v>70276.28</v>
      </c>
      <c r="E300" s="5">
        <v>3043</v>
      </c>
      <c r="F300" s="5">
        <v>87.9</v>
      </c>
      <c r="G300" s="5">
        <f>IF(F300="North",1,0)</f>
        <v>0</v>
      </c>
      <c r="H300">
        <f>-80484.1+(0.194328*D300)+(6.391292*E300)+(1576.133*F300)+(0*G300)</f>
        <v>91163.341195839996</v>
      </c>
      <c r="I300">
        <f>C300-H300</f>
        <v>436136.78880416002</v>
      </c>
    </row>
    <row r="301" spans="1:9">
      <c r="A301" s="5" t="s">
        <v>98</v>
      </c>
      <c r="B301" s="6">
        <v>45689</v>
      </c>
      <c r="C301" s="5">
        <v>538376</v>
      </c>
      <c r="D301" s="5">
        <v>46146.239999999998</v>
      </c>
      <c r="E301" s="5">
        <v>5804</v>
      </c>
      <c r="F301" s="5">
        <v>86.9</v>
      </c>
      <c r="G301" s="5">
        <f>IF(F301="North",1,0)</f>
        <v>0</v>
      </c>
      <c r="H301">
        <f>-80484.1+(0.194328*D301)+(6.391292*E301)+(1576.133*F301)+(0*G301)</f>
        <v>102544.42299471999</v>
      </c>
      <c r="I301">
        <f>C301-H301</f>
        <v>435831.57700528001</v>
      </c>
    </row>
    <row r="302" spans="1:9">
      <c r="A302" s="5" t="s">
        <v>36</v>
      </c>
      <c r="B302" s="6">
        <v>45689</v>
      </c>
      <c r="C302" s="5">
        <v>500298.48</v>
      </c>
      <c r="D302" s="5">
        <v>59405.68</v>
      </c>
      <c r="E302" s="5">
        <v>2515</v>
      </c>
      <c r="F302" s="5">
        <v>76</v>
      </c>
      <c r="G302" s="5">
        <f>IF(F302="North",1,0)</f>
        <v>0</v>
      </c>
      <c r="H302">
        <f>-80484.1+(0.194328*D302)+(6.391292*E302)+(1576.133*F302)+(0*G302)</f>
        <v>66920.294363039997</v>
      </c>
      <c r="I302">
        <f>C302-H302</f>
        <v>433378.18563695997</v>
      </c>
    </row>
    <row r="303" spans="1:9">
      <c r="A303" s="5" t="s">
        <v>36</v>
      </c>
      <c r="B303" s="6">
        <v>45658</v>
      </c>
      <c r="C303" s="5">
        <v>518049.26</v>
      </c>
      <c r="D303" s="5">
        <v>19365.060000000001</v>
      </c>
      <c r="E303" s="5">
        <v>2378</v>
      </c>
      <c r="F303" s="5">
        <v>94.8</v>
      </c>
      <c r="G303" s="5">
        <f>IF(F303="North",1,0)</f>
        <v>0</v>
      </c>
      <c r="H303">
        <f>-80484.1+(0.194328*D303)+(6.391292*E303)+(1576.133*F303)+(0*G303)</f>
        <v>87894.974155679985</v>
      </c>
      <c r="I303">
        <f>C303-H303</f>
        <v>430154.28584432002</v>
      </c>
    </row>
    <row r="304" spans="1:9">
      <c r="A304" s="5" t="s">
        <v>92</v>
      </c>
      <c r="B304" s="6">
        <v>45748</v>
      </c>
      <c r="C304" s="5">
        <v>497439.82</v>
      </c>
      <c r="D304" s="5">
        <v>18599.21</v>
      </c>
      <c r="E304" s="5">
        <v>3027</v>
      </c>
      <c r="F304" s="5">
        <v>80.900000000000006</v>
      </c>
      <c r="G304" s="5">
        <f>IF(F304="North",1,0)</f>
        <v>0</v>
      </c>
      <c r="H304">
        <f>-80484.1+(0.194328*D304)+(6.391292*E304)+(1576.133*F304)+(0*G304)</f>
        <v>69985.847864880008</v>
      </c>
      <c r="I304">
        <f>C304-H304</f>
        <v>427453.97213512001</v>
      </c>
    </row>
    <row r="305" spans="1:9">
      <c r="A305" s="5" t="s">
        <v>95</v>
      </c>
      <c r="B305" s="6">
        <v>45717</v>
      </c>
      <c r="C305" s="5">
        <v>498970.32</v>
      </c>
      <c r="D305" s="5">
        <v>59825.51</v>
      </c>
      <c r="E305" s="5">
        <v>1231</v>
      </c>
      <c r="F305" s="5">
        <v>84.8</v>
      </c>
      <c r="G305" s="5">
        <f>IF(F305="North",1,0)</f>
        <v>0</v>
      </c>
      <c r="H305">
        <f>-80484.1+(0.194328*D305)+(6.391292*E305)+(1576.133*F305)+(0*G305)</f>
        <v>72665.430559279994</v>
      </c>
      <c r="I305">
        <f>C305-H305</f>
        <v>426304.88944072003</v>
      </c>
    </row>
    <row r="306" spans="1:9">
      <c r="A306" s="5" t="s">
        <v>52</v>
      </c>
      <c r="B306" s="6">
        <v>45658</v>
      </c>
      <c r="C306" s="5">
        <v>509484.81</v>
      </c>
      <c r="D306" s="5">
        <v>43896.13</v>
      </c>
      <c r="E306" s="5">
        <v>3853</v>
      </c>
      <c r="F306" s="5">
        <v>83</v>
      </c>
      <c r="G306" s="5">
        <f>IF(F306="North",1,0)</f>
        <v>0</v>
      </c>
      <c r="H306">
        <f>-80484.1+(0.194328*D306)+(6.391292*E306)+(1576.133*F306)+(0*G306)</f>
        <v>83490.83422664</v>
      </c>
      <c r="I306">
        <f>C306-H306</f>
        <v>425993.97577336</v>
      </c>
    </row>
    <row r="307" spans="1:9">
      <c r="A307" s="5" t="s">
        <v>95</v>
      </c>
      <c r="B307" s="6">
        <v>45748</v>
      </c>
      <c r="C307" s="5">
        <v>487738.26</v>
      </c>
      <c r="D307" s="5">
        <v>27398.28</v>
      </c>
      <c r="E307" s="5">
        <v>1723</v>
      </c>
      <c r="F307" s="5">
        <v>81</v>
      </c>
      <c r="G307" s="5">
        <f>IF(F307="North",1,0)</f>
        <v>0</v>
      </c>
      <c r="H307">
        <f>-80484.1+(0.194328*D307)+(6.391292*E307)+(1576.133*F307)+(0*G307)</f>
        <v>63519.122071839993</v>
      </c>
      <c r="I307">
        <f>C307-H307</f>
        <v>424219.13792816002</v>
      </c>
    </row>
    <row r="308" spans="1:9">
      <c r="A308" s="5" t="s">
        <v>29</v>
      </c>
      <c r="B308" s="6">
        <v>45658</v>
      </c>
      <c r="C308" s="5">
        <v>511844.41</v>
      </c>
      <c r="D308" s="5">
        <v>68600.62</v>
      </c>
      <c r="E308" s="5">
        <v>3988</v>
      </c>
      <c r="F308" s="5">
        <v>85</v>
      </c>
      <c r="G308" s="5">
        <f>IF(F308="North",1,0)</f>
        <v>0</v>
      </c>
      <c r="H308">
        <f>-80484.1+(0.194328*D308)+(6.391292*E308)+(1576.133*F308)+(0*G308)</f>
        <v>92306.698779359984</v>
      </c>
      <c r="I308">
        <f>C308-H308</f>
        <v>419537.71122063999</v>
      </c>
    </row>
    <row r="309" spans="1:9">
      <c r="A309" s="5" t="s">
        <v>29</v>
      </c>
      <c r="B309" s="6">
        <v>45717</v>
      </c>
      <c r="C309" s="5">
        <v>500173.02</v>
      </c>
      <c r="D309" s="5">
        <v>44970.080000000002</v>
      </c>
      <c r="E309" s="5">
        <v>2471</v>
      </c>
      <c r="F309" s="5">
        <v>87.6</v>
      </c>
      <c r="G309" s="5">
        <f>IF(F309="North",1,0)</f>
        <v>0</v>
      </c>
      <c r="H309">
        <f>-80484.1+(0.194328*D309)+(6.391292*E309)+(1576.133*F309)+(0*G309)</f>
        <v>82116.97903824001</v>
      </c>
      <c r="I309">
        <f>C309-H309</f>
        <v>418056.04096175998</v>
      </c>
    </row>
    <row r="310" spans="1:9">
      <c r="A310" s="5" t="s">
        <v>25</v>
      </c>
      <c r="B310" s="6">
        <v>45689</v>
      </c>
      <c r="C310" s="5">
        <v>491905.13</v>
      </c>
      <c r="D310" s="5">
        <v>33518.879999999997</v>
      </c>
      <c r="E310" s="5">
        <v>2121</v>
      </c>
      <c r="F310" s="5">
        <v>88.5</v>
      </c>
      <c r="G310" s="5">
        <f>IF(F310="North",1,0)</f>
        <v>0</v>
      </c>
      <c r="H310">
        <f>-80484.1+(0.194328*D310)+(6.391292*E310)+(1576.133*F310)+(0*G310)</f>
        <v>79073.25774464001</v>
      </c>
      <c r="I310">
        <f>C310-H310</f>
        <v>412831.87225536001</v>
      </c>
    </row>
    <row r="311" spans="1:9">
      <c r="A311" s="5" t="s">
        <v>39</v>
      </c>
      <c r="B311" s="6">
        <v>45689</v>
      </c>
      <c r="C311" s="5">
        <v>479050.5</v>
      </c>
      <c r="D311" s="5">
        <v>36813.449999999997</v>
      </c>
      <c r="E311" s="5">
        <v>2834</v>
      </c>
      <c r="F311" s="5">
        <v>81.8</v>
      </c>
      <c r="G311" s="5">
        <f>IF(F311="North",1,0)</f>
        <v>0</v>
      </c>
      <c r="H311">
        <f>-80484.1+(0.194328*D311)+(6.391292*E311)+(1576.133*F311)+(0*G311)</f>
        <v>73710.385039599991</v>
      </c>
      <c r="I311">
        <f>C311-H311</f>
        <v>405340.11496040004</v>
      </c>
    </row>
    <row r="312" spans="1:9">
      <c r="A312" s="5" t="s">
        <v>35</v>
      </c>
      <c r="B312" s="6">
        <v>45748</v>
      </c>
      <c r="C312" s="5">
        <v>487464.91</v>
      </c>
      <c r="D312" s="5">
        <v>27808.6</v>
      </c>
      <c r="E312" s="5">
        <v>2863</v>
      </c>
      <c r="F312" s="5">
        <v>89.3</v>
      </c>
      <c r="G312" s="5">
        <f>IF(F312="North",1,0)</f>
        <v>0</v>
      </c>
      <c r="H312">
        <f>-80484.1+(0.194328*D312)+(6.391292*E312)+(1576.133*F312)+(0*G312)</f>
        <v>83966.835516799983</v>
      </c>
      <c r="I312">
        <f>C312-H312</f>
        <v>403498.07448319998</v>
      </c>
    </row>
    <row r="313" spans="1:9">
      <c r="A313" s="5" t="s">
        <v>43</v>
      </c>
      <c r="B313" s="6">
        <v>45748</v>
      </c>
      <c r="C313" s="5">
        <v>450711.92</v>
      </c>
      <c r="D313" s="5">
        <v>18996.32</v>
      </c>
      <c r="E313" s="5">
        <v>1260</v>
      </c>
      <c r="F313" s="5">
        <v>86.4</v>
      </c>
      <c r="G313" s="5">
        <f>IF(F313="North",1,0)</f>
        <v>0</v>
      </c>
      <c r="H313">
        <f>-80484.1+(0.194328*D313)+(6.391292*E313)+(1576.133*F313)+(0*G313)</f>
        <v>67438.335992959997</v>
      </c>
      <c r="I313">
        <f>C313-H313</f>
        <v>383273.58400704002</v>
      </c>
    </row>
    <row r="314" spans="1:9">
      <c r="A314" s="5" t="s">
        <v>35</v>
      </c>
      <c r="B314" s="6">
        <v>45658</v>
      </c>
      <c r="C314" s="5">
        <v>463534.25</v>
      </c>
      <c r="D314" s="5">
        <v>53015.46</v>
      </c>
      <c r="E314" s="5">
        <v>3279</v>
      </c>
      <c r="F314" s="5">
        <v>84.3</v>
      </c>
      <c r="G314" s="5">
        <f>IF(F314="North",1,0)</f>
        <v>0</v>
      </c>
      <c r="H314">
        <f>-80484.1+(0.194328*D314)+(6.391292*E314)+(1576.133*F314)+(0*G314)</f>
        <v>83643.34667888</v>
      </c>
      <c r="I314">
        <f>C314-H314</f>
        <v>379890.90332112001</v>
      </c>
    </row>
    <row r="315" spans="1:9">
      <c r="A315" s="5" t="s">
        <v>69</v>
      </c>
      <c r="B315" s="6">
        <v>45717</v>
      </c>
      <c r="C315" s="5">
        <v>443275.59</v>
      </c>
      <c r="D315" s="5">
        <v>37705.879999999997</v>
      </c>
      <c r="E315" s="5">
        <v>1268</v>
      </c>
      <c r="F315" s="5">
        <v>84.1</v>
      </c>
      <c r="G315" s="5">
        <f>IF(F315="North",1,0)</f>
        <v>0</v>
      </c>
      <c r="H315">
        <f>-80484.1+(0.194328*D315)+(6.391292*E315)+(1576.133*F315)+(0*G315)</f>
        <v>67500.151804639987</v>
      </c>
      <c r="I315">
        <f>C315-H315</f>
        <v>375775.43819536001</v>
      </c>
    </row>
    <row r="316" spans="1:9">
      <c r="A316" s="5" t="s">
        <v>70</v>
      </c>
      <c r="B316" s="6">
        <v>45748</v>
      </c>
      <c r="C316" s="5">
        <v>449465.06</v>
      </c>
      <c r="D316" s="5">
        <v>41657.64</v>
      </c>
      <c r="E316" s="5">
        <v>3135</v>
      </c>
      <c r="F316" s="5">
        <v>85.4</v>
      </c>
      <c r="G316" s="5">
        <f>IF(F316="North",1,0)</f>
        <v>0</v>
      </c>
      <c r="H316">
        <f>-80484.1+(0.194328*D316)+(6.391292*E316)+(1576.133*F316)+(0*G316)</f>
        <v>82249.604485920019</v>
      </c>
      <c r="I316">
        <f>C316-H316</f>
        <v>367215.45551408001</v>
      </c>
    </row>
    <row r="317" spans="1:9">
      <c r="A317" s="5" t="s">
        <v>52</v>
      </c>
      <c r="B317" s="6">
        <v>45748</v>
      </c>
      <c r="C317" s="5">
        <v>441275.42</v>
      </c>
      <c r="D317" s="5">
        <v>19063.48</v>
      </c>
      <c r="E317" s="5">
        <v>1906</v>
      </c>
      <c r="F317" s="5">
        <v>97.8</v>
      </c>
      <c r="G317" s="5">
        <f>IF(F317="North",1,0)</f>
        <v>0</v>
      </c>
      <c r="H317">
        <f>-80484.1+(0.194328*D317)+(6.391292*E317)+(1576.133*F317)+(0*G317)</f>
        <v>89548.07789344</v>
      </c>
      <c r="I317">
        <f>C317-H317</f>
        <v>351727.34210656001</v>
      </c>
    </row>
    <row r="318" spans="1:9">
      <c r="A318" s="5" t="s">
        <v>29</v>
      </c>
      <c r="B318" s="6">
        <v>45748</v>
      </c>
      <c r="C318" s="5">
        <v>427917.38</v>
      </c>
      <c r="D318" s="5">
        <v>69816.350000000006</v>
      </c>
      <c r="E318" s="5">
        <v>971</v>
      </c>
      <c r="F318" s="5">
        <v>89.9</v>
      </c>
      <c r="G318" s="5">
        <f>IF(F318="North",1,0)</f>
        <v>0</v>
      </c>
      <c r="H318">
        <f>-80484.1+(0.194328*D318)+(6.391292*E318)+(1576.133*F318)+(0*G318)</f>
        <v>80983.472894800012</v>
      </c>
      <c r="I318">
        <f>C318-H318</f>
        <v>346933.90710519999</v>
      </c>
    </row>
    <row r="319" spans="1:9">
      <c r="A319" s="5" t="s">
        <v>25</v>
      </c>
      <c r="B319" s="6">
        <v>45658</v>
      </c>
      <c r="C319" s="5">
        <v>415721.82</v>
      </c>
      <c r="D319" s="5">
        <v>30356.28</v>
      </c>
      <c r="E319" s="5">
        <v>2822</v>
      </c>
      <c r="F319" s="5">
        <v>84.8</v>
      </c>
      <c r="G319" s="5">
        <f>IF(F319="North",1,0)</f>
        <v>0</v>
      </c>
      <c r="H319">
        <f>-80484.1+(0.194328*D319)+(6.391292*E319)+(1576.133*F319)+(0*G319)</f>
        <v>77107.279603839997</v>
      </c>
      <c r="I319">
        <f>C319-H319</f>
        <v>338614.54039615998</v>
      </c>
    </row>
    <row r="320" spans="1:9">
      <c r="A320" s="5" t="s">
        <v>55</v>
      </c>
      <c r="B320" s="6">
        <v>45689</v>
      </c>
      <c r="C320" s="5">
        <v>400831.65</v>
      </c>
      <c r="D320" s="5">
        <v>22071.64</v>
      </c>
      <c r="E320" s="5">
        <v>1814</v>
      </c>
      <c r="F320" s="5">
        <v>81.099999999999994</v>
      </c>
      <c r="G320" s="5">
        <f>IF(F320="North",1,0)</f>
        <v>0</v>
      </c>
      <c r="H320">
        <f>-80484.1+(0.194328*D320)+(6.391292*E320)+(1576.133*F320)+(0*G320)</f>
        <v>63223.227645919993</v>
      </c>
      <c r="I320">
        <f>C320-H320</f>
        <v>337608.42235408002</v>
      </c>
    </row>
    <row r="321" spans="1:9">
      <c r="A321" s="5" t="s">
        <v>96</v>
      </c>
      <c r="B321" s="6">
        <v>45748</v>
      </c>
      <c r="C321" s="5">
        <v>401582.58</v>
      </c>
      <c r="D321" s="5">
        <v>24362.98</v>
      </c>
      <c r="E321" s="5">
        <v>1462</v>
      </c>
      <c r="F321" s="5">
        <v>89.3</v>
      </c>
      <c r="G321" s="5">
        <f>IF(F321="North",1,0)</f>
        <v>0</v>
      </c>
      <c r="H321">
        <f>-80484.1+(0.194328*D321)+(6.391292*E321)+(1576.133*F321)+(0*G321)</f>
        <v>74343.054981439986</v>
      </c>
      <c r="I321">
        <f>C321-H321</f>
        <v>327239.52501856</v>
      </c>
    </row>
    <row r="322" spans="1:9">
      <c r="G322" s="5"/>
    </row>
    <row r="323" spans="1:9">
      <c r="G323" s="5"/>
    </row>
    <row r="324" spans="1:9">
      <c r="G324" s="5"/>
    </row>
    <row r="325" spans="1:9">
      <c r="G325" s="5"/>
    </row>
    <row r="326" spans="1:9">
      <c r="G326" s="5"/>
    </row>
    <row r="327" spans="1:9">
      <c r="G327" s="5"/>
    </row>
    <row r="328" spans="1:9">
      <c r="G328" s="5"/>
    </row>
    <row r="329" spans="1:9">
      <c r="G329" s="5"/>
    </row>
    <row r="330" spans="1:9">
      <c r="G330" s="5"/>
    </row>
    <row r="331" spans="1:9">
      <c r="G331" s="5"/>
    </row>
    <row r="332" spans="1:9">
      <c r="G332" s="5"/>
    </row>
    <row r="333" spans="1:9">
      <c r="G333" s="5"/>
    </row>
    <row r="334" spans="1:9">
      <c r="G334" s="5"/>
    </row>
    <row r="335" spans="1:9">
      <c r="G335" s="5"/>
    </row>
    <row r="336" spans="1:9">
      <c r="G336" s="5"/>
    </row>
    <row r="337" spans="7:7">
      <c r="G337" s="5"/>
    </row>
    <row r="338" spans="7:7">
      <c r="G338" s="5"/>
    </row>
    <row r="339" spans="7:7">
      <c r="G339" s="5"/>
    </row>
    <row r="340" spans="7:7">
      <c r="G340" s="5"/>
    </row>
    <row r="341" spans="7:7">
      <c r="G341" s="5"/>
    </row>
    <row r="342" spans="7:7">
      <c r="G342" s="5"/>
    </row>
    <row r="343" spans="7:7">
      <c r="G343" s="5"/>
    </row>
    <row r="344" spans="7:7">
      <c r="G344" s="5"/>
    </row>
    <row r="345" spans="7:7">
      <c r="G345" s="5"/>
    </row>
    <row r="346" spans="7:7">
      <c r="G346" s="5"/>
    </row>
    <row r="347" spans="7:7">
      <c r="G347" s="5"/>
    </row>
    <row r="348" spans="7:7">
      <c r="G348" s="5"/>
    </row>
    <row r="349" spans="7:7">
      <c r="G349" s="5"/>
    </row>
    <row r="350" spans="7:7">
      <c r="G350" s="5"/>
    </row>
    <row r="351" spans="7:7">
      <c r="G351" s="5"/>
    </row>
    <row r="352" spans="7:7">
      <c r="G352" s="5"/>
    </row>
    <row r="353" spans="7:7">
      <c r="G353" s="5"/>
    </row>
    <row r="354" spans="7:7">
      <c r="G354" s="5"/>
    </row>
    <row r="355" spans="7:7">
      <c r="G355" s="5"/>
    </row>
    <row r="356" spans="7:7">
      <c r="G356" s="5"/>
    </row>
    <row r="357" spans="7:7">
      <c r="G357" s="5"/>
    </row>
    <row r="358" spans="7:7">
      <c r="G358" s="5"/>
    </row>
    <row r="359" spans="7:7">
      <c r="G359" s="5"/>
    </row>
    <row r="360" spans="7:7">
      <c r="G360" s="5"/>
    </row>
    <row r="361" spans="7:7">
      <c r="G361" s="5"/>
    </row>
    <row r="362" spans="7:7">
      <c r="G362" s="5"/>
    </row>
    <row r="363" spans="7:7">
      <c r="G363" s="5"/>
    </row>
    <row r="364" spans="7:7">
      <c r="G364" s="5"/>
    </row>
    <row r="365" spans="7:7">
      <c r="G365" s="5"/>
    </row>
    <row r="366" spans="7:7">
      <c r="G366" s="5"/>
    </row>
    <row r="367" spans="7:7">
      <c r="G367" s="5"/>
    </row>
    <row r="368" spans="7:7">
      <c r="G368" s="5"/>
    </row>
    <row r="369" spans="7:7">
      <c r="G369" s="5"/>
    </row>
    <row r="370" spans="7:7">
      <c r="G370" s="5"/>
    </row>
    <row r="371" spans="7:7">
      <c r="G371" s="5"/>
    </row>
    <row r="372" spans="7:7">
      <c r="G372" s="5"/>
    </row>
    <row r="373" spans="7:7">
      <c r="G373" s="5"/>
    </row>
    <row r="374" spans="7:7">
      <c r="G374" s="5"/>
    </row>
    <row r="375" spans="7:7">
      <c r="G375" s="5"/>
    </row>
    <row r="376" spans="7:7">
      <c r="G376" s="5"/>
    </row>
    <row r="377" spans="7:7">
      <c r="G377" s="5"/>
    </row>
    <row r="378" spans="7:7">
      <c r="G378" s="5"/>
    </row>
    <row r="379" spans="7:7">
      <c r="G379" s="5"/>
    </row>
    <row r="380" spans="7:7">
      <c r="G380" s="5"/>
    </row>
    <row r="381" spans="7:7">
      <c r="G381" s="5"/>
    </row>
    <row r="382" spans="7:7">
      <c r="G382" s="5"/>
    </row>
    <row r="383" spans="7:7">
      <c r="G383" s="5"/>
    </row>
    <row r="384" spans="7:7">
      <c r="G384" s="5"/>
    </row>
    <row r="385" spans="7:7">
      <c r="G385" s="5"/>
    </row>
    <row r="386" spans="7:7">
      <c r="G386" s="5"/>
    </row>
    <row r="387" spans="7:7">
      <c r="G387" s="5"/>
    </row>
    <row r="388" spans="7:7">
      <c r="G388" s="5"/>
    </row>
    <row r="389" spans="7:7">
      <c r="G389" s="5"/>
    </row>
    <row r="390" spans="7:7">
      <c r="G390" s="5"/>
    </row>
    <row r="391" spans="7:7">
      <c r="G391" s="5"/>
    </row>
    <row r="392" spans="7:7">
      <c r="G392" s="5"/>
    </row>
    <row r="393" spans="7:7">
      <c r="G393" s="5"/>
    </row>
    <row r="394" spans="7:7">
      <c r="G394" s="5"/>
    </row>
    <row r="395" spans="7:7">
      <c r="G395" s="5"/>
    </row>
    <row r="396" spans="7:7">
      <c r="G396" s="5"/>
    </row>
    <row r="397" spans="7:7">
      <c r="G397" s="5"/>
    </row>
    <row r="398" spans="7:7">
      <c r="G398" s="5"/>
    </row>
    <row r="399" spans="7:7">
      <c r="G399" s="5"/>
    </row>
    <row r="400" spans="7:7">
      <c r="G400" s="5"/>
    </row>
    <row r="401" spans="7:7">
      <c r="G401" s="5"/>
    </row>
    <row r="402" spans="7:7">
      <c r="G402" s="5"/>
    </row>
    <row r="403" spans="7:7">
      <c r="G403" s="5"/>
    </row>
    <row r="404" spans="7:7">
      <c r="G404" s="5"/>
    </row>
    <row r="405" spans="7:7">
      <c r="G405" s="5"/>
    </row>
    <row r="406" spans="7:7">
      <c r="G406" s="5"/>
    </row>
    <row r="407" spans="7:7">
      <c r="G407" s="5"/>
    </row>
    <row r="408" spans="7:7">
      <c r="G408" s="5"/>
    </row>
    <row r="409" spans="7:7">
      <c r="G409" s="5"/>
    </row>
    <row r="410" spans="7:7">
      <c r="G410" s="5"/>
    </row>
    <row r="411" spans="7:7">
      <c r="G411" s="5"/>
    </row>
    <row r="412" spans="7:7">
      <c r="G412" s="5"/>
    </row>
    <row r="413" spans="7:7">
      <c r="G413" s="5"/>
    </row>
    <row r="414" spans="7:7">
      <c r="G414" s="5"/>
    </row>
    <row r="415" spans="7:7">
      <c r="G415" s="5"/>
    </row>
    <row r="416" spans="7:7">
      <c r="G416" s="5"/>
    </row>
    <row r="417" spans="7:7">
      <c r="G417" s="5"/>
    </row>
    <row r="418" spans="7:7">
      <c r="G418" s="5"/>
    </row>
    <row r="419" spans="7:7">
      <c r="G419" s="5"/>
    </row>
    <row r="420" spans="7:7">
      <c r="G420" s="5"/>
    </row>
    <row r="421" spans="7:7">
      <c r="G421" s="5"/>
    </row>
    <row r="422" spans="7:7">
      <c r="G422" s="5"/>
    </row>
    <row r="423" spans="7:7">
      <c r="G423" s="5"/>
    </row>
    <row r="424" spans="7:7">
      <c r="G424" s="5"/>
    </row>
    <row r="425" spans="7:7">
      <c r="G425" s="5"/>
    </row>
    <row r="426" spans="7:7">
      <c r="G426" s="5"/>
    </row>
    <row r="427" spans="7:7">
      <c r="G427" s="5"/>
    </row>
    <row r="428" spans="7:7">
      <c r="G428" s="5"/>
    </row>
  </sheetData>
  <sortState ref="A2:I321">
    <sortCondition descending="1" ref="I2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17" sqref="L17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Original_Data</vt:lpstr>
      <vt:lpstr>Sheet1</vt:lpstr>
      <vt:lpstr>Simple_Regression_1</vt:lpstr>
      <vt:lpstr>Simple_Regression_2</vt:lpstr>
      <vt:lpstr>Prepared_Data</vt:lpstr>
      <vt:lpstr>Sheet4</vt:lpstr>
      <vt:lpstr>Multiple_Regression_Output</vt:lpstr>
      <vt:lpstr>Dummy_Variables</vt:lpstr>
      <vt:lpstr>Multiple_Regression</vt:lpstr>
      <vt:lpstr>Predictions_Residuals</vt:lpstr>
      <vt:lpstr>Model_Comparison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2026-06-28T03:43:54Z</dcterms:created>
  <dcterms:modified xsi:type="dcterms:W3CDTF">2026-06-28T14:26:29Z</dcterms:modified>
</cp:coreProperties>
</file>